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quan" sheetId="1" state="visible" r:id="rId1"/>
    <sheet name="Core" sheetId="2" state="visible" r:id="rId2"/>
    <sheet name="Recommendation" sheetId="3" state="visible" r:id="rId3"/>
  </sheets>
  <definedNames>
    <definedName name="_xlnm._FilterDatabase" localSheetId="1" hidden="1">'Core'!$A$1:$G$386</definedName>
    <definedName name="_xlnm._FilterDatabase" localSheetId="2" hidden="1">'Recommendation'!$A$1:$G$91</definedName>
  </definedNames>
  <calcPr calcId="124519" fullCalcOnLoad="1" forceFullCalc="1"/>
</workbook>
</file>

<file path=xl/styles.xml><?xml version="1.0" encoding="utf-8"?>
<styleSheet xmlns="http://schemas.openxmlformats.org/spreadsheetml/2006/main">
  <numFmts count="0"/>
  <fonts count="13">
    <font>
      <name val="Calibri"/>
      <color theme="1"/>
      <sz val="11"/>
      <scheme val="minor"/>
    </font>
    <font>
      <name val="Arial"/>
      <b val="1"/>
      <color theme="1"/>
      <sz val="12"/>
    </font>
    <font>
      <name val="Calibri"/>
      <color theme="1"/>
      <sz val="12"/>
    </font>
    <font>
      <name val="Calibri"/>
      <color theme="1"/>
      <sz val="10"/>
    </font>
    <font>
      <name val="Arial"/>
      <b val="1"/>
      <color rgb="FFFFFFFF"/>
    </font>
    <font>
      <name val="Arial"/>
      <b val="1"/>
      <color rgb="FFFFFFFF"/>
      <sz val="11"/>
    </font>
    <font>
      <name val="Calibri"/>
      <color theme="1"/>
      <sz val="11"/>
    </font>
    <font>
      <name val="Arial"/>
      <color theme="1"/>
      <sz val="10"/>
    </font>
    <font>
      <name val="Arial"/>
      <b val="1"/>
      <color theme="1"/>
      <sz val="10"/>
    </font>
    <font/>
    <font>
      <name val="Calibri"/>
      <color theme="1"/>
    </font>
    <font>
      <name val="Arial"/>
      <color rgb="FF0563C1"/>
      <sz val="10"/>
    </font>
    <font>
      <name val="Arial"/>
      <b val="1"/>
      <color rgb="FFFFFFFF"/>
      <sz val="10"/>
    </font>
  </fonts>
  <fills count="5">
    <fill>
      <patternFill/>
    </fill>
    <fill>
      <patternFill patternType="lightGray"/>
    </fill>
    <fill>
      <patternFill patternType="solid">
        <fgColor rgb="FF1F4E78"/>
        <bgColor rgb="FF1F4E78"/>
      </patternFill>
    </fill>
    <fill>
      <patternFill patternType="solid">
        <fgColor rgb="FFDDEBF7"/>
        <bgColor rgb="FFDDEBF7"/>
      </patternFill>
    </fill>
    <fill>
      <patternFill patternType="solid">
        <fgColor rgb="FFFFFFFF"/>
        <bgColor rgb="FFFFFFFF"/>
      </patternFill>
    </fill>
  </fills>
  <borders count="10">
    <border/>
    <border>
      <left style="thin">
        <color rgb="FFBFBFBF"/>
      </left>
      <right style="thin">
        <color rgb="FFBFBFBF"/>
      </right>
      <top style="thin">
        <color rgb="FFBFBFBF"/>
      </top>
      <bottom style="thin">
        <color rgb="FFBFBFBF"/>
      </bottom>
    </border>
    <border>
      <left/>
      <top/>
      <bottom/>
    </border>
    <border>
      <top/>
      <bottom/>
    </border>
    <border>
      <right/>
      <top/>
      <bottom/>
    </border>
    <border>
      <left/>
      <right/>
      <top/>
      <bottom/>
    </border>
    <border>
      <top style="thin">
        <color rgb="FFBFBFBF"/>
      </top>
    </border>
    <border>
      <right style="thin">
        <color rgb="FFBFBFBF"/>
      </right>
      <top style="thin">
        <color rgb="FFBFBFBF"/>
      </top>
    </border>
    <border>
      <top style="thin">
        <color rgb="FFBFBFBF"/>
      </top>
      <bottom style="thin">
        <color rgb="FFBFBFBF"/>
      </bottom>
    </border>
    <border>
      <right style="thin">
        <color rgb="FFBFBFBF"/>
      </right>
      <top style="thin">
        <color rgb="FFBFBFBF"/>
      </top>
      <bottom style="thin">
        <color rgb="FFBFBFBF"/>
      </bottom>
    </border>
  </borders>
  <cellStyleXfs count="1">
    <xf numFmtId="0" fontId="0" fillId="0" borderId="0"/>
  </cellStyleXfs>
  <cellXfs count="3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vertical="center" wrapText="1"/>
    </xf>
    <xf numFmtId="0" fontId="4" fillId="2" borderId="1" applyAlignment="1" pivotButton="0" quotePrefix="0" xfId="0">
      <alignment horizontal="center" vertical="center" wrapText="1"/>
    </xf>
    <xf numFmtId="0" fontId="5" fillId="2" borderId="1" applyAlignment="1" pivotButton="0" quotePrefix="0" xfId="0">
      <alignment vertical="bottom"/>
    </xf>
    <xf numFmtId="0" fontId="6" fillId="0" borderId="0" pivotButton="0" quotePrefix="0" xfId="0"/>
    <xf numFmtId="0" fontId="6" fillId="0" borderId="0" applyAlignment="1" pivotButton="0" quotePrefix="0" xfId="0">
      <alignment vertical="bottom"/>
    </xf>
    <xf numFmtId="0" fontId="7" fillId="0" borderId="1" applyAlignment="1" pivotButton="0" quotePrefix="0" xfId="0">
      <alignment horizontal="right" vertical="top" wrapText="1"/>
    </xf>
    <xf numFmtId="0" fontId="7" fillId="0" borderId="1" applyAlignment="1" pivotButton="0" quotePrefix="0" xfId="0">
      <alignment vertical="top" wrapText="1"/>
    </xf>
    <xf numFmtId="0" fontId="8" fillId="3" borderId="2" pivotButton="0" quotePrefix="0" xfId="0"/>
    <xf numFmtId="0" fontId="9" fillId="0" borderId="3" pivotButton="0" quotePrefix="0" xfId="0"/>
    <xf numFmtId="0" fontId="8" fillId="3" borderId="2" applyAlignment="1" pivotButton="0" quotePrefix="0" xfId="0">
      <alignment horizontal="left"/>
    </xf>
    <xf numFmtId="0" fontId="9" fillId="0" borderId="4" pivotButton="0" quotePrefix="0" xfId="0"/>
    <xf numFmtId="0" fontId="10" fillId="0" borderId="0" applyAlignment="1" pivotButton="0" quotePrefix="0" xfId="0">
      <alignment horizontal="left"/>
    </xf>
    <xf numFmtId="0" fontId="8" fillId="0" borderId="1" applyAlignment="1" pivotButton="0" quotePrefix="0" xfId="0">
      <alignment vertical="top" wrapText="1"/>
    </xf>
    <xf numFmtId="0" fontId="7" fillId="0" borderId="1" applyAlignment="1" pivotButton="0" quotePrefix="0" xfId="0">
      <alignment horizontal="center" vertical="top" wrapText="1"/>
    </xf>
    <xf numFmtId="0" fontId="11" fillId="0" borderId="1" applyAlignment="1" pivotButton="0" quotePrefix="0" xfId="0">
      <alignment vertical="top" wrapText="1"/>
    </xf>
    <xf numFmtId="0" fontId="11" fillId="0" borderId="1" applyAlignment="1" pivotButton="0" quotePrefix="0" xfId="0">
      <alignment vertical="top" wrapText="1"/>
    </xf>
    <xf numFmtId="0" fontId="8" fillId="0" borderId="0" applyAlignment="1" pivotButton="0" quotePrefix="0" xfId="0">
      <alignment vertical="bottom"/>
    </xf>
    <xf numFmtId="0" fontId="8" fillId="0" borderId="0" applyAlignment="1" pivotButton="0" quotePrefix="0" xfId="0">
      <alignment horizontal="right" vertical="bottom"/>
    </xf>
    <xf numFmtId="0" fontId="7" fillId="0" borderId="0" applyAlignment="1" pivotButton="0" quotePrefix="0" xfId="0">
      <alignment vertical="bottom"/>
    </xf>
    <xf numFmtId="0" fontId="7" fillId="0" borderId="0" applyAlignment="1" pivotButton="0" quotePrefix="0" xfId="0">
      <alignment horizontal="right" vertical="bottom"/>
    </xf>
    <xf numFmtId="0" fontId="7" fillId="4" borderId="1" applyAlignment="1" pivotButton="0" quotePrefix="0" xfId="0">
      <alignment horizontal="center" vertical="top" wrapText="1"/>
    </xf>
    <xf numFmtId="0" fontId="12" fillId="0" borderId="0" applyAlignment="1" pivotButton="0" quotePrefix="0" xfId="0">
      <alignment vertical="bottom"/>
    </xf>
    <xf numFmtId="0" fontId="7" fillId="4" borderId="1" applyAlignment="1" pivotButton="0" quotePrefix="0" xfId="0">
      <alignment vertical="top" wrapText="1"/>
    </xf>
    <xf numFmtId="0" fontId="3" fillId="0" borderId="0" applyAlignment="1" pivotButton="0" quotePrefix="0" xfId="0">
      <alignment vertical="bottom"/>
    </xf>
    <xf numFmtId="0" fontId="8" fillId="4" borderId="1" applyAlignment="1" pivotButton="0" quotePrefix="0" xfId="0">
      <alignment vertical="top" wrapText="1"/>
    </xf>
    <xf numFmtId="0" fontId="3" fillId="0" borderId="0" applyAlignment="1" pivotButton="0" quotePrefix="0" xfId="0">
      <alignment vertical="top"/>
    </xf>
    <xf numFmtId="0" fontId="10" fillId="0" borderId="0" pivotButton="0" quotePrefix="0" xfId="0"/>
    <xf numFmtId="0" fontId="7" fillId="0" borderId="1" applyAlignment="1" pivotButton="0" quotePrefix="0" xfId="0">
      <alignment horizontal="left" vertical="top" wrapText="1"/>
    </xf>
    <xf numFmtId="0" fontId="10" fillId="0" borderId="0" applyAlignment="1" pivotButton="0" quotePrefix="0" xfId="0">
      <alignment horizontal="center"/>
    </xf>
    <xf numFmtId="0" fontId="0" fillId="0" borderId="0" pivotButton="0" quotePrefix="0" xfId="0"/>
    <xf numFmtId="0" fontId="8" fillId="3" borderId="5" applyAlignment="1" pivotButton="0" quotePrefix="0" xfId="0">
      <alignment horizontal="left"/>
    </xf>
    <xf numFmtId="0" fontId="8" fillId="3" borderId="5"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1003"/>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33" min="1" max="1"/>
    <col width="16" customWidth="1" style="33" min="2" max="2"/>
    <col width="32" customWidth="1" style="33" min="3" max="3"/>
    <col width="70" customWidth="1" style="33" min="4" max="4"/>
    <col width="18.57" customWidth="1" style="33" min="5" max="5"/>
    <col width="8.710000000000001" customWidth="1" style="33" min="6" max="6"/>
  </cols>
  <sheetData>
    <row r="1">
      <c r="A1" s="1" t="inlineStr">
        <is>
          <t>ANGI – Từ điển dữ liệu (Data Dictionary)</t>
        </is>
      </c>
      <c r="B1" s="2" t="n"/>
      <c r="C1" s="2"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c r="A2" s="27" t="n"/>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c r="A3" s="27" t="n"/>
      <c r="B3" s="27" t="n"/>
      <c r="C3" s="27" t="n"/>
      <c r="D3" s="27" t="n"/>
      <c r="E3" s="27" t="n"/>
      <c r="F3" s="27" t="n"/>
      <c r="G3" s="27" t="n"/>
      <c r="H3" s="27" t="n"/>
      <c r="I3" s="27" t="n"/>
      <c r="J3" s="27" t="n"/>
      <c r="K3" s="27" t="n"/>
      <c r="L3" s="27" t="n"/>
      <c r="M3" s="27" t="n"/>
      <c r="N3" s="27" t="n"/>
      <c r="O3" s="27" t="n"/>
      <c r="P3" s="27" t="n"/>
      <c r="Q3" s="27" t="n"/>
      <c r="R3" s="27" t="n"/>
      <c r="S3" s="27" t="n"/>
      <c r="T3" s="27" t="n"/>
      <c r="U3" s="27" t="n"/>
      <c r="V3" s="27" t="n"/>
      <c r="W3" s="27" t="n"/>
      <c r="X3" s="27" t="n"/>
      <c r="Y3" s="27" t="n"/>
      <c r="Z3" s="27" t="n"/>
    </row>
    <row r="4">
      <c r="A4" s="6" t="inlineStr">
        <is>
          <t>STT</t>
        </is>
      </c>
      <c r="B4" s="6" t="inlineStr">
        <is>
          <t>Schema</t>
        </is>
      </c>
      <c r="C4" s="6" t="inlineStr">
        <is>
          <t>Tên bảng</t>
        </is>
      </c>
      <c r="D4" s="6" t="inlineStr">
        <is>
          <t>Mô tả bảng</t>
        </is>
      </c>
      <c r="E4" s="6" t="inlineStr">
        <is>
          <t>Số trường</t>
        </is>
      </c>
      <c r="F4" s="8" t="n"/>
      <c r="G4" s="8" t="n"/>
      <c r="H4" s="8" t="n"/>
      <c r="I4" s="8" t="n"/>
      <c r="J4" s="8" t="n"/>
      <c r="K4" s="8" t="n"/>
      <c r="L4" s="8" t="n"/>
      <c r="M4" s="8" t="n"/>
      <c r="N4" s="8" t="n"/>
      <c r="O4" s="8" t="n"/>
      <c r="P4" s="8" t="n"/>
      <c r="Q4" s="8" t="n"/>
      <c r="R4" s="8" t="n"/>
      <c r="S4" s="8" t="n"/>
      <c r="T4" s="8" t="n"/>
      <c r="U4" s="8" t="n"/>
      <c r="V4" s="8" t="n"/>
      <c r="W4" s="8" t="n"/>
      <c r="X4" s="8" t="n"/>
      <c r="Y4" s="8" t="n"/>
      <c r="Z4" s="8" t="n"/>
    </row>
    <row r="5">
      <c r="A5" s="9" t="n">
        <v>1</v>
      </c>
      <c r="B5" s="10" t="inlineStr">
        <is>
          <t>core</t>
        </is>
      </c>
      <c r="C5" s="19" t="inlineStr">
        <is>
          <t>roles</t>
        </is>
      </c>
      <c r="D5" s="10" t="inlineStr">
        <is>
          <t>Danh mục role: Traveler, Restaurant Owner, Mod, Admin</t>
        </is>
      </c>
      <c r="E5" s="9">
        <f>COUNTIF(Core!$A:$A,C5)</f>
        <v>3</v>
      </c>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c r="A6" s="9" t="n">
        <v>2</v>
      </c>
      <c r="B6" s="10" t="inlineStr">
        <is>
          <t>core</t>
        </is>
      </c>
      <c r="C6" s="19" t="inlineStr">
        <is>
          <t>users</t>
        </is>
      </c>
      <c r="D6" s="10" t="inlineStr">
        <is>
          <t>Tài khoản người dùng (mỗi tài khoản 1 role)</t>
        </is>
      </c>
      <c r="E6" s="9">
        <f>COUNTIF(Core!$A:$A,C6)</f>
        <v>15</v>
      </c>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c r="A7" s="9" t="n">
        <v>3</v>
      </c>
      <c r="B7" s="10" t="inlineStr">
        <is>
          <t>core</t>
        </is>
      </c>
      <c r="C7" s="19" t="inlineStr">
        <is>
          <t>permissions</t>
        </is>
      </c>
      <c r="D7" s="10" t="inlineStr">
        <is>
          <t>Danh mục quyền chi tiết</t>
        </is>
      </c>
      <c r="E7" s="9">
        <f>COUNTIF(Core!$A:$A,C7)</f>
        <v>3</v>
      </c>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c r="A8" s="9" t="n">
        <v>4</v>
      </c>
      <c r="B8" s="10" t="inlineStr">
        <is>
          <t>core</t>
        </is>
      </c>
      <c r="C8" s="19" t="inlineStr">
        <is>
          <t>role_permissions</t>
        </is>
      </c>
      <c r="D8" s="10" t="inlineStr">
        <is>
          <t>Quyền mặc định của từng role</t>
        </is>
      </c>
      <c r="E8" s="9">
        <f>COUNTIF(Core!$A:$A,C8)</f>
        <v>2</v>
      </c>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c r="A9" s="9" t="n">
        <v>5</v>
      </c>
      <c r="B9" s="10" t="inlineStr">
        <is>
          <t>core</t>
        </is>
      </c>
      <c r="C9" s="19" t="inlineStr">
        <is>
          <t>user_permissions</t>
        </is>
      </c>
      <c r="D9" s="10" t="inlineStr">
        <is>
          <t>Ghi đè quyền cho từng user (Admin quản lý quyền của Mod)</t>
        </is>
      </c>
      <c r="E9" s="9">
        <f>COUNTIF(Core!$A:$A,C9)</f>
        <v>5</v>
      </c>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c r="A10" s="9" t="n">
        <v>6</v>
      </c>
      <c r="B10" s="10" t="inlineStr">
        <is>
          <t>core</t>
        </is>
      </c>
      <c r="C10" s="19" t="inlineStr">
        <is>
          <t>user_external_logins</t>
        </is>
      </c>
      <c r="D10" s="10" t="inlineStr">
        <is>
          <t>Liên kết đăng nhập Google</t>
        </is>
      </c>
      <c r="E10" s="9">
        <f>COUNTIF(Core!$A:$A,C10)</f>
        <v>5</v>
      </c>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c r="A11" s="9" t="n">
        <v>7</v>
      </c>
      <c r="B11" s="10" t="inlineStr">
        <is>
          <t>core</t>
        </is>
      </c>
      <c r="C11" s="19" t="inlineStr">
        <is>
          <t>user_tokens</t>
        </is>
      </c>
      <c r="D11" s="10" t="inlineStr">
        <is>
          <t>Token xác minh email và reset mật khẩu</t>
        </is>
      </c>
      <c r="E11" s="9">
        <f>COUNTIF(Core!$A:$A,C11)</f>
        <v>7</v>
      </c>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c r="A12" s="9" t="n">
        <v>8</v>
      </c>
      <c r="B12" s="10" t="inlineStr">
        <is>
          <t>core</t>
        </is>
      </c>
      <c r="C12" s="19" t="inlineStr">
        <is>
          <t>user_sessions</t>
        </is>
      </c>
      <c r="D12" s="10" t="inlineStr">
        <is>
          <t>Phiên đăng nhập / refresh token</t>
        </is>
      </c>
      <c r="E12" s="9">
        <f>COUNTIF(Core!$A:$A,C12)</f>
        <v>8</v>
      </c>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c r="A13" s="9" t="n">
        <v>9</v>
      </c>
      <c r="B13" s="10" t="inlineStr">
        <is>
          <t>core</t>
        </is>
      </c>
      <c r="C13" s="19" t="inlineStr">
        <is>
          <t>media_files</t>
        </is>
      </c>
      <c r="D13" s="10" t="inlineStr">
        <is>
          <t>File upload dùng chung (ảnh, giấy tờ)</t>
        </is>
      </c>
      <c r="E13" s="9">
        <f>COUNTIF(Core!$A:$A,C13)</f>
        <v>7</v>
      </c>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c r="A14" s="9" t="n">
        <v>10</v>
      </c>
      <c r="B14" s="10" t="inlineStr">
        <is>
          <t>core</t>
        </is>
      </c>
      <c r="C14" s="19" t="inlineStr">
        <is>
          <t>restaurants</t>
        </is>
      </c>
      <c r="D14" s="10" t="inlineStr">
        <is>
          <t>Nhà hàng (mỗi Owner 1 nhà hàng)</t>
        </is>
      </c>
      <c r="E14" s="9">
        <f>COUNTIF(Core!$A:$A,C14)</f>
        <v>24</v>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c r="A15" s="9" t="n">
        <v>11</v>
      </c>
      <c r="B15" s="10" t="inlineStr">
        <is>
          <t>core</t>
        </is>
      </c>
      <c r="C15" s="19" t="inlineStr">
        <is>
          <t>restaurant_images</t>
        </is>
      </c>
      <c r="D15" s="10" t="inlineStr">
        <is>
          <t>Ảnh của nhà hàng</t>
        </is>
      </c>
      <c r="E15" s="9">
        <f>COUNTIF(Core!$A:$A,C15)</f>
        <v>3</v>
      </c>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9" t="n">
        <v>12</v>
      </c>
      <c r="B16" s="10" t="inlineStr">
        <is>
          <t>core</t>
        </is>
      </c>
      <c r="C16" s="19" t="inlineStr">
        <is>
          <t>restaurant_business_hours</t>
        </is>
      </c>
      <c r="D16" s="10" t="inlineStr">
        <is>
          <t>Giờ mở cửa theo ngày, nhiều ca/ngày</t>
        </is>
      </c>
      <c r="E16" s="9">
        <f>COUNTIF(Core!$A:$A,C16)</f>
        <v>5</v>
      </c>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c r="A17" s="9" t="n">
        <v>13</v>
      </c>
      <c r="B17" s="10" t="inlineStr">
        <is>
          <t>core</t>
        </is>
      </c>
      <c r="C17" s="19" t="inlineStr">
        <is>
          <t>restaurant_verifications</t>
        </is>
      </c>
      <c r="D17" s="10" t="inlineStr">
        <is>
          <t>Các lần nộp xác minh nhà hàng</t>
        </is>
      </c>
      <c r="E17" s="9">
        <f>COUNTIF(Core!$A:$A,C17)</f>
        <v>13</v>
      </c>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9" t="n">
        <v>14</v>
      </c>
      <c r="B18" s="10" t="inlineStr">
        <is>
          <t>core</t>
        </is>
      </c>
      <c r="C18" s="19" t="inlineStr">
        <is>
          <t>restaurant_verification_documents</t>
        </is>
      </c>
      <c r="D18" s="10" t="inlineStr">
        <is>
          <t>Giấy tờ đính kèm lần nộp xác minh</t>
        </is>
      </c>
      <c r="E18" s="9">
        <f>COUNTIF(Core!$A:$A,C18)</f>
        <v>4</v>
      </c>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c r="A19" s="9" t="n">
        <v>15</v>
      </c>
      <c r="B19" s="10" t="inlineStr">
        <is>
          <t>core</t>
        </is>
      </c>
      <c r="C19" s="19" t="inlineStr">
        <is>
          <t>tags</t>
        </is>
      </c>
      <c r="D19" s="10" t="inlineStr">
        <is>
          <t>Tag phân loại để lọc ứng viên (bữa, dietary, nhóm món)</t>
        </is>
      </c>
      <c r="E19" s="9">
        <f>COUNTIF(Core!$A:$A,C19)</f>
        <v>4</v>
      </c>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5.75" customHeight="1" s="33">
      <c r="A20" s="9" t="n">
        <v>16</v>
      </c>
      <c r="B20" s="10" t="inlineStr">
        <is>
          <t>core</t>
        </is>
      </c>
      <c r="C20" s="19" t="inlineStr">
        <is>
          <t>dishes</t>
        </is>
      </c>
      <c r="D20" s="10" t="inlineStr">
        <is>
          <t>Menu đang hoạt động: món đã duyệt, mỗi món thuộc 1 quán</t>
        </is>
      </c>
      <c r="E20" s="9">
        <f>COUNTIF(Core!$A:$A,C20)</f>
        <v>14</v>
      </c>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5.75" customHeight="1" s="33">
      <c r="A21" s="9" t="n">
        <v>17</v>
      </c>
      <c r="B21" s="10" t="inlineStr">
        <is>
          <t>core</t>
        </is>
      </c>
      <c r="C21" s="19" t="inlineStr">
        <is>
          <t>dish_tags</t>
        </is>
      </c>
      <c r="D21" s="10" t="inlineStr">
        <is>
          <t>Tag của món</t>
        </is>
      </c>
      <c r="E21" s="9">
        <f>COUNTIF(Core!$A:$A,C21)</f>
        <v>2</v>
      </c>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5.75" customHeight="1" s="33">
      <c r="A22" s="9" t="n">
        <v>18</v>
      </c>
      <c r="B22" s="10" t="inlineStr">
        <is>
          <t>core</t>
        </is>
      </c>
      <c r="C22" s="19" t="inlineStr">
        <is>
          <t>dish_images</t>
        </is>
      </c>
      <c r="D22" s="10" t="inlineStr">
        <is>
          <t>Ảnh của món</t>
        </is>
      </c>
      <c r="E22" s="9">
        <f>COUNTIF(Core!$A:$A,C22)</f>
        <v>3</v>
      </c>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5.75" customHeight="1" s="33">
      <c r="A23" s="9" t="n">
        <v>19</v>
      </c>
      <c r="B23" s="10" t="inlineStr">
        <is>
          <t>core</t>
        </is>
      </c>
      <c r="C23" s="19" t="inlineStr">
        <is>
          <t>menu_submissions</t>
        </is>
      </c>
      <c r="D23" s="10" t="inlineStr">
        <is>
          <t>Bản menu mới Owner soạn và nộp duyệt</t>
        </is>
      </c>
      <c r="E23" s="9">
        <f>COUNTIF(Core!$A:$A,C23)</f>
        <v>10</v>
      </c>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5.75" customHeight="1" s="33">
      <c r="A24" s="9" t="n">
        <v>20</v>
      </c>
      <c r="B24" s="10" t="inlineStr">
        <is>
          <t>core</t>
        </is>
      </c>
      <c r="C24" s="19" t="inlineStr">
        <is>
          <t>menu_submission_items</t>
        </is>
      </c>
      <c r="D24" s="10" t="inlineStr">
        <is>
          <t>Toàn bộ món của bản menu đề xuất</t>
        </is>
      </c>
      <c r="E24" s="9">
        <f>COUNTIF(Core!$A:$A,C24)</f>
        <v>11</v>
      </c>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5.75" customHeight="1" s="33">
      <c r="A25" s="9" t="n">
        <v>21</v>
      </c>
      <c r="B25" s="10" t="inlineStr">
        <is>
          <t>core</t>
        </is>
      </c>
      <c r="C25" s="19" t="inlineStr">
        <is>
          <t>restaurant_reviews</t>
        </is>
      </c>
      <c r="D25" s="10" t="inlineStr">
        <is>
          <t>Review nhà hàng (1 lần/user/quán)</t>
        </is>
      </c>
      <c r="E25" s="9">
        <f>COUNTIF(Core!$A:$A,C25)</f>
        <v>8</v>
      </c>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5.75" customHeight="1" s="33">
      <c r="A26" s="9" t="n">
        <v>22</v>
      </c>
      <c r="B26" s="10" t="inlineStr">
        <is>
          <t>core</t>
        </is>
      </c>
      <c r="C26" s="19" t="inlineStr">
        <is>
          <t>review_images</t>
        </is>
      </c>
      <c r="D26" s="10" t="inlineStr">
        <is>
          <t>Ảnh đính kèm review</t>
        </is>
      </c>
      <c r="E26" s="9">
        <f>COUNTIF(Core!$A:$A,C26)</f>
        <v>2</v>
      </c>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5.75" customHeight="1" s="33">
      <c r="A27" s="9" t="n">
        <v>23</v>
      </c>
      <c r="B27" s="10" t="inlineStr">
        <is>
          <t>core</t>
        </is>
      </c>
      <c r="C27" s="19" t="inlineStr">
        <is>
          <t>review_replies</t>
        </is>
      </c>
      <c r="D27" s="10" t="inlineStr">
        <is>
          <t>Phản hồi của Owner cho review</t>
        </is>
      </c>
      <c r="E27" s="9">
        <f>COUNTIF(Core!$A:$A,C27)</f>
        <v>6</v>
      </c>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5.75" customHeight="1" s="33">
      <c r="A28" s="9" t="n">
        <v>24</v>
      </c>
      <c r="B28" s="10" t="inlineStr">
        <is>
          <t>core</t>
        </is>
      </c>
      <c r="C28" s="19" t="inlineStr">
        <is>
          <t>dish_feedbacks</t>
        </is>
      </c>
      <c r="D28" s="10" t="inlineStr">
        <is>
          <t>Like/dislike món từ roadmap item (1 lần/item)</t>
        </is>
      </c>
      <c r="E28" s="9">
        <f>COUNTIF(Core!$A:$A,C28)</f>
        <v>8</v>
      </c>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5.75" customHeight="1" s="33">
      <c r="A29" s="9" t="n">
        <v>25</v>
      </c>
      <c r="B29" s="10" t="inlineStr">
        <is>
          <t>core</t>
        </is>
      </c>
      <c r="C29" s="19" t="inlineStr">
        <is>
          <t>dish_rolls</t>
        </is>
      </c>
      <c r="D29" s="10" t="inlineStr">
        <is>
          <t>Lịch sử Roll Dish</t>
        </is>
      </c>
      <c r="E29" s="9">
        <f>COUNTIF(Core!$A:$A,C29)</f>
        <v>5</v>
      </c>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5.75" customHeight="1" s="33">
      <c r="A30" s="9" t="n">
        <v>26</v>
      </c>
      <c r="B30" s="10" t="inlineStr">
        <is>
          <t>core</t>
        </is>
      </c>
      <c r="C30" s="19" t="inlineStr">
        <is>
          <t>roadmaps</t>
        </is>
      </c>
      <c r="D30" s="10" t="inlineStr">
        <is>
          <t>Roadmap ẩm thực cá nhân</t>
        </is>
      </c>
      <c r="E30" s="9">
        <f>COUNTIF(Core!$A:$A,C30)</f>
        <v>14</v>
      </c>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5.75" customHeight="1" s="33">
      <c r="A31" s="9" t="n">
        <v>27</v>
      </c>
      <c r="B31" s="10" t="inlineStr">
        <is>
          <t>core</t>
        </is>
      </c>
      <c r="C31" s="19" t="inlineStr">
        <is>
          <t>roadmap_days</t>
        </is>
      </c>
      <c r="D31" s="10" t="inlineStr">
        <is>
          <t>Các ngày trong roadmap</t>
        </is>
      </c>
      <c r="E31" s="9">
        <f>COUNTIF(Core!$A:$A,C31)</f>
        <v>4</v>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5.75" customHeight="1" s="33">
      <c r="A32" s="9" t="n">
        <v>28</v>
      </c>
      <c r="B32" s="10" t="inlineStr">
        <is>
          <t>core</t>
        </is>
      </c>
      <c r="C32" s="19" t="inlineStr">
        <is>
          <t>roadmap_items</t>
        </is>
      </c>
      <c r="D32" s="10" t="inlineStr">
        <is>
          <t>Món (kèm quán) trong từng ngày của roadmap</t>
        </is>
      </c>
      <c r="E32" s="9">
        <f>COUNTIF(Core!$A:$A,C32)</f>
        <v>9</v>
      </c>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5.75" customHeight="1" s="33">
      <c r="A33" s="9" t="n">
        <v>29</v>
      </c>
      <c r="B33" s="10" t="inlineStr">
        <is>
          <t>core</t>
        </is>
      </c>
      <c r="C33" s="19" t="inlineStr">
        <is>
          <t>roadmap_generation_jobs</t>
        </is>
      </c>
      <c r="D33" s="10" t="inlineStr">
        <is>
          <t>Các lần gọi AI sinh roadmap</t>
        </is>
      </c>
      <c r="E33" s="9">
        <f>COUNTIF(Core!$A:$A,C33)</f>
        <v>13</v>
      </c>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5.75" customHeight="1" s="33">
      <c r="A34" s="9" t="n">
        <v>30</v>
      </c>
      <c r="B34" s="10" t="inlineStr">
        <is>
          <t>core</t>
        </is>
      </c>
      <c r="C34" s="19" t="inlineStr">
        <is>
          <t>blogs</t>
        </is>
      </c>
      <c r="D34" s="10" t="inlineStr">
        <is>
          <t>Bài blog</t>
        </is>
      </c>
      <c r="E34" s="9">
        <f>COUNTIF(Core!$A:$A,C34)</f>
        <v>16</v>
      </c>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5.75" customHeight="1" s="33">
      <c r="A35" s="9" t="n">
        <v>31</v>
      </c>
      <c r="B35" s="10" t="inlineStr">
        <is>
          <t>core</t>
        </is>
      </c>
      <c r="C35" s="19" t="inlineStr">
        <is>
          <t>blog_images</t>
        </is>
      </c>
      <c r="D35" s="10" t="inlineStr">
        <is>
          <t>Ảnh trong blog</t>
        </is>
      </c>
      <c r="E35" s="9">
        <f>COUNTIF(Core!$A:$A,C35)</f>
        <v>3</v>
      </c>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5.75" customHeight="1" s="33">
      <c r="A36" s="9" t="n">
        <v>32</v>
      </c>
      <c r="B36" s="10" t="inlineStr">
        <is>
          <t>core</t>
        </is>
      </c>
      <c r="C36" s="19" t="inlineStr">
        <is>
          <t>blog_likes</t>
        </is>
      </c>
      <c r="D36" s="10" t="inlineStr">
        <is>
          <t>Like blog</t>
        </is>
      </c>
      <c r="E36" s="9">
        <f>COUNTIF(Core!$A:$A,C36)</f>
        <v>3</v>
      </c>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5.75" customHeight="1" s="33">
      <c r="A37" s="9" t="n">
        <v>33</v>
      </c>
      <c r="B37" s="10" t="inlineStr">
        <is>
          <t>core</t>
        </is>
      </c>
      <c r="C37" s="19" t="inlineStr">
        <is>
          <t>blog_comments</t>
        </is>
      </c>
      <c r="D37" s="10" t="inlineStr">
        <is>
          <t>Comment blog (1 cấp)</t>
        </is>
      </c>
      <c r="E37" s="9">
        <f>COUNTIF(Core!$A:$A,C37)</f>
        <v>8</v>
      </c>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5.75" customHeight="1" s="33">
      <c r="A38" s="9" t="n">
        <v>34</v>
      </c>
      <c r="B38" s="10" t="inlineStr">
        <is>
          <t>core</t>
        </is>
      </c>
      <c r="C38" s="19" t="inlineStr">
        <is>
          <t>reports</t>
        </is>
      </c>
      <c r="D38" s="10" t="inlineStr">
        <is>
          <t>Báo cáo nhà hàng hoặc blog</t>
        </is>
      </c>
      <c r="E38" s="9">
        <f>COUNTIF(Core!$A:$A,C38)</f>
        <v>14</v>
      </c>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5.75" customHeight="1" s="33">
      <c r="A39" s="9" t="n">
        <v>35</v>
      </c>
      <c r="B39" s="10" t="inlineStr">
        <is>
          <t>core</t>
        </is>
      </c>
      <c r="C39" s="19" t="inlineStr">
        <is>
          <t>user_sanctions</t>
        </is>
      </c>
      <c r="D39" s="10" t="inlineStr">
        <is>
          <t>Lịch sử cảnh cáo/tạm khóa/cấm user</t>
        </is>
      </c>
      <c r="E39" s="9">
        <f>COUNTIF(Core!$A:$A,C39)</f>
        <v>11</v>
      </c>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5.75" customHeight="1" s="33">
      <c r="A40" s="9" t="n">
        <v>36</v>
      </c>
      <c r="B40" s="10" t="inlineStr">
        <is>
          <t>core</t>
        </is>
      </c>
      <c r="C40" s="19" t="inlineStr">
        <is>
          <t>notifications</t>
        </is>
      </c>
      <c r="D40" s="10" t="inlineStr">
        <is>
          <t>Thông báo cho user</t>
        </is>
      </c>
      <c r="E40" s="9">
        <f>COUNTIF(Core!$A:$A,C40)</f>
        <v>8</v>
      </c>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5.75" customHeight="1" s="33">
      <c r="A41" s="9" t="n">
        <v>37</v>
      </c>
      <c r="B41" s="10" t="inlineStr">
        <is>
          <t>core</t>
        </is>
      </c>
      <c r="C41" s="19" t="inlineStr">
        <is>
          <t>audit_logs</t>
        </is>
      </c>
      <c r="D41" s="10" t="inlineStr">
        <is>
          <t>Nhật ký kiểm toán (append-only: trigger chặn UPDATE, DELETE, TRUNCATE)</t>
        </is>
      </c>
      <c r="E41" s="9">
        <f>COUNTIF(Core!$A:$A,C41)</f>
        <v>12</v>
      </c>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5.75" customHeight="1" s="33">
      <c r="A42" s="9" t="n">
        <v>38</v>
      </c>
      <c r="B42" s="10" t="inlineStr">
        <is>
          <t>core</t>
        </is>
      </c>
      <c r="C42" s="19" t="inlineStr">
        <is>
          <t>outbox_messages</t>
        </is>
      </c>
      <c r="D42" s="10" t="inlineStr">
        <is>
          <t>Transactional outbox đồng bộ core sang recommendation</t>
        </is>
      </c>
      <c r="E42" s="9">
        <f>COUNTIF(Core!$A:$A,C42)</f>
        <v>12</v>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32" customHeight="1" s="33">
      <c r="A43" s="9">
        <v>39</v>
      </c>
      <c r="B43" s="10" t="inlineStr">
        <is>
          <t xml:space="preserve">core</t>
        </is>
      </c>
      <c r="C43" s="19" t="inlineStr">
        <is>
          <t xml:space="preserve">agent_conversations</t>
        </is>
      </c>
      <c r="D43" s="10" t="inlineStr">
        <is>
          <t xml:space="preserve">Hội thoại Agent, state có thời hạn và lease xử lý.</t>
        </is>
      </c>
      <c r="E43" s="9">
        <f>COUNTIF(Core!$A:$A,C43)</f>
        <v>13</v>
      </c>
      <c r="F43" s="27">
      </c>
      <c r="G43" s="27">
      </c>
      <c r="H43" s="27">
      </c>
      <c r="I43" s="27">
      </c>
      <c r="J43" s="27">
      </c>
      <c r="K43" s="27">
      </c>
      <c r="L43" s="27">
      </c>
      <c r="M43" s="27">
      </c>
      <c r="N43" s="27">
      </c>
      <c r="O43" s="27">
      </c>
      <c r="P43" s="27">
      </c>
      <c r="Q43" s="27">
      </c>
      <c r="R43" s="27">
      </c>
      <c r="S43" s="27">
      </c>
      <c r="T43" s="27">
      </c>
      <c r="U43" s="27">
      </c>
      <c r="V43" s="27">
      </c>
      <c r="W43" s="27">
      </c>
      <c r="X43" s="27">
      </c>
      <c r="Y43" s="27">
      </c>
      <c r="Z43" s="27">
      </c>
    </row>
    <row r="44" ht="32" customHeight="1" s="33">
      <c r="A44" s="9">
        <v>40</v>
      </c>
      <c r="B44" s="10" t="inlineStr">
        <is>
          <t xml:space="preserve">core</t>
        </is>
      </c>
      <c r="C44" s="19" t="inlineStr">
        <is>
          <t xml:space="preserve">agent_messages</t>
        </is>
      </c>
      <c r="D44" s="10" t="inlineStr">
        <is>
          <t xml:space="preserve">Tin nhắn có thứ tự, ID số và kết quả retry.</t>
        </is>
      </c>
      <c r="E44" s="9">
        <f>COUNTIF(Core!$A:$A,C44)</f>
        <v>11</v>
      </c>
      <c r="F44" s="27">
      </c>
      <c r="G44" s="27">
      </c>
      <c r="H44" s="27">
      </c>
      <c r="I44" s="27">
      </c>
      <c r="J44" s="27">
      </c>
      <c r="K44" s="27">
      </c>
      <c r="L44" s="27">
      </c>
      <c r="M44" s="27">
      </c>
      <c r="N44" s="27">
      </c>
      <c r="O44" s="27">
      </c>
      <c r="P44" s="27">
      </c>
      <c r="Q44" s="27">
      </c>
      <c r="R44" s="27">
      </c>
      <c r="S44" s="27">
      </c>
      <c r="T44" s="27">
      </c>
      <c r="U44" s="27">
      </c>
      <c r="V44" s="27">
      </c>
      <c r="W44" s="27">
      </c>
      <c r="X44" s="27">
      </c>
      <c r="Y44" s="27">
      </c>
      <c r="Z44" s="27">
      </c>
    </row>
    <row r="45" ht="32" customHeight="1" s="33">
      <c r="A45" s="9">
        <v>41</v>
      </c>
      <c r="B45" s="10" t="inlineStr">
        <is>
          <t xml:space="preserve">core</t>
        </is>
      </c>
      <c r="C45" s="19" t="inlineStr">
        <is>
          <t xml:space="preserve">agent_proposals</t>
        </is>
      </c>
      <c r="D45" s="10" t="inlineStr">
        <is>
          <t xml:space="preserve">Proposal bất biến và kết quả confirm roadmap.</t>
        </is>
      </c>
      <c r="E45" s="9">
        <f>COUNTIF(Core!$A:$A,C45)</f>
        <v>16</v>
      </c>
      <c r="F45" s="27">
      </c>
      <c r="G45" s="27">
      </c>
      <c r="H45" s="27">
      </c>
      <c r="I45" s="27">
      </c>
      <c r="J45" s="27">
      </c>
      <c r="K45" s="27">
      </c>
      <c r="L45" s="27">
      </c>
      <c r="M45" s="27">
      </c>
      <c r="N45" s="27">
      </c>
      <c r="O45" s="27">
      </c>
      <c r="P45" s="27">
      </c>
      <c r="Q45" s="27">
      </c>
      <c r="R45" s="27">
      </c>
      <c r="S45" s="27">
      </c>
      <c r="T45" s="27">
      </c>
      <c r="U45" s="27">
      </c>
      <c r="V45" s="27">
      </c>
      <c r="W45" s="27">
      </c>
      <c r="X45" s="27">
      </c>
      <c r="Y45" s="27">
      </c>
      <c r="Z45" s="27">
      </c>
    </row>
    <row r="46" ht="15.75" customHeight="1" s="33">
      <c r="A46" s="9">
        <v>42</v>
      </c>
      <c r="B46" s="10" t="inlineStr">
        <is>
          <t>recommendation</t>
        </is>
      </c>
      <c r="C46" s="19" t="inlineStr">
        <is>
          <t>algorithm_configs</t>
        </is>
      </c>
      <c r="D46" s="10" t="inlineStr">
        <is>
          <t>Cấu hình thuật toán có phiên bản</t>
        </is>
      </c>
      <c r="E46" s="9">
        <f>COUNTIF(Recommendation!$A:$A,C46)</f>
        <v>5</v>
      </c>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5.75" customHeight="1" s="33">
      <c r="A47" s="9">
        <v>43</v>
      </c>
      <c r="B47" s="10" t="inlineStr">
        <is>
          <t>recommendation</t>
        </is>
      </c>
      <c r="C47" s="19" t="inlineStr">
        <is>
          <t>survey_option_vectors</t>
        </is>
      </c>
      <c r="D47" s="10" t="inlineStr">
        <is>
          <t>Quy lựa chọn khảo sát thành vector 12 chiều</t>
        </is>
      </c>
      <c r="E47" s="9">
        <f>COUNTIF(Recommendation!$A:$A,C47)</f>
        <v>4</v>
      </c>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5.75" customHeight="1" s="33">
      <c r="A48" s="9">
        <v>44</v>
      </c>
      <c r="B48" s="10" t="inlineStr">
        <is>
          <t>recommendation</t>
        </is>
      </c>
      <c r="C48" s="19" t="inlineStr">
        <is>
          <t>dish_vectors</t>
        </is>
      </c>
      <c r="D48" s="10" t="inlineStr">
        <is>
          <t>Vector 12 chiều của món do AI sinh</t>
        </is>
      </c>
      <c r="E48" s="9">
        <f>COUNTIF(Recommendation!$A:$A,C48)</f>
        <v>15</v>
      </c>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5.75" customHeight="1" s="33">
      <c r="A49" s="9">
        <v>45</v>
      </c>
      <c r="B49" s="10" t="inlineStr">
        <is>
          <t>recommendation</t>
        </is>
      </c>
      <c r="C49" s="19" t="inlineStr">
        <is>
          <t>user_preference_vectors</t>
        </is>
      </c>
      <c r="D49" s="10" t="inlineStr">
        <is>
          <t>Vector user và bộ đếm m, N_total</t>
        </is>
      </c>
      <c r="E49" s="9">
        <f>COUNTIF(Recommendation!$A:$A,C49)</f>
        <v>10</v>
      </c>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5.75" customHeight="1" s="33">
      <c r="A50" s="9">
        <v>46</v>
      </c>
      <c r="B50" s="10" t="inlineStr">
        <is>
          <t>recommendation</t>
        </is>
      </c>
      <c r="C50" s="19" t="inlineStr">
        <is>
          <t>user_dish_scores</t>
        </is>
      </c>
      <c r="D50" s="10" t="inlineStr">
        <is>
          <t>Implicit S, n, N_i theo cặp user-món</t>
        </is>
      </c>
      <c r="E50" s="9">
        <f>COUNTIF(Recommendation!$A:$A,C50)</f>
        <v>9</v>
      </c>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5.75" customHeight="1" s="33">
      <c r="A51" s="9">
        <v>47</v>
      </c>
      <c r="B51" s="10" t="inlineStr">
        <is>
          <t>recommendation</t>
        </is>
      </c>
      <c r="C51" s="19" t="inlineStr">
        <is>
          <t>dish_stats</t>
        </is>
      </c>
      <c r="D51" s="10" t="inlineStr">
        <is>
          <t>Like/dislike cộng đồng cho Wilson</t>
        </is>
      </c>
      <c r="E51" s="9">
        <f>COUNTIF(Recommendation!$A:$A,C51)</f>
        <v>4</v>
      </c>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5.75" customHeight="1" s="33">
      <c r="A52" s="9">
        <v>48</v>
      </c>
      <c r="B52" s="10" t="inlineStr">
        <is>
          <t>recommendation</t>
        </is>
      </c>
      <c r="C52" s="19" t="inlineStr">
        <is>
          <t>interaction_events</t>
        </is>
      </c>
      <c r="D52" s="10" t="inlineStr">
        <is>
          <t>Log like/dislike append-only (nguồn sự thật)</t>
        </is>
      </c>
      <c r="E52" s="9">
        <f>COUNTIF(Recommendation!$A:$A,C52)</f>
        <v>10</v>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5.75" customHeight="1" s="33">
      <c r="A53" s="9">
        <v>49</v>
      </c>
      <c r="B53" s="10" t="inlineStr">
        <is>
          <t>recommendation</t>
        </is>
      </c>
      <c r="C53" s="19" t="inlineStr">
        <is>
          <t>recommendation_logs</t>
        </is>
      </c>
      <c r="D53" s="10" t="inlineStr">
        <is>
          <t>Mỗi lần gọi /recommendations</t>
        </is>
      </c>
      <c r="E53" s="9">
        <f>COUNTIF(Recommendation!$A:$A,C53)</f>
        <v>11</v>
      </c>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5.75" customHeight="1" s="33">
      <c r="A54" s="9">
        <v>50</v>
      </c>
      <c r="B54" s="10" t="inlineStr">
        <is>
          <t>recommendation</t>
        </is>
      </c>
      <c r="C54" s="19" t="inlineStr">
        <is>
          <t>recommendation_items</t>
        </is>
      </c>
      <c r="D54" s="10" t="inlineStr">
        <is>
          <t>Điểm từng tầng của từng món trong một lần gợi ý</t>
        </is>
      </c>
      <c r="E54" s="9">
        <f>COUNTIF(Recommendation!$A:$A,C54)</f>
        <v>14</v>
      </c>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5.75" customHeight="1" s="33">
      <c r="A56" s="27" t="n"/>
      <c r="B56" s="27" t="n"/>
      <c r="C56" s="20" t="inlineStr">
        <is>
          <t>Tổng số trường</t>
        </is>
      </c>
      <c r="D56" s="27" t="n"/>
      <c r="E56" s="21">
        <f>SUM(E5:E54)</f>
        <v>426</v>
      </c>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5.75" customHeight="1" s="33">
      <c r="A57" s="27" t="n"/>
      <c r="B57" s="27" t="n"/>
      <c r="C57" s="22" t="inlineStr">
        <is>
          <t>Số bảng core</t>
        </is>
      </c>
      <c r="D57" s="27" t="n"/>
      <c r="E57" s="23">
        <f>COUNTIF(B5:B54,"core")</f>
        <v>41</v>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5.75" customHeight="1" s="33">
      <c r="A58" s="27" t="n"/>
      <c r="B58" s="27" t="n"/>
      <c r="C58" s="22" t="inlineStr">
        <is>
          <t>Số bảng recommendation</t>
        </is>
      </c>
      <c r="D58" s="27" t="n"/>
      <c r="E58" s="23">
        <f>COUNTIF(B5:B54,"recommendation")</f>
        <v>9</v>
      </c>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33">
      <c r="A60" s="25" t="inlineStr">
        <is>
          <t>Thay đổi Ver1.1 (06/10/2026)</t>
        </is>
      </c>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32" customHeight="1" s="33">
      <c r="A61" s="9" t="n">
        <v>1</v>
      </c>
      <c r="B61" s="27" t="n"/>
      <c r="C61" s="10" t="inlineStr">
        <is>
          <t>restaurants.latitude / longitude chuyển thành NOT NULL (OWN-01 vốn đã bắt buộc). Cần cho lọc quán gần và tính lộ trình.</t>
        </is>
      </c>
      <c r="D61" s="36" t="n"/>
      <c r="E61" s="3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32" customHeight="1" s="33">
      <c r="A62" s="9" t="n">
        <v>2</v>
      </c>
      <c r="B62" s="27" t="n"/>
      <c r="C62" s="10" t="inlineStr">
        <is>
          <t>roadmaps thêm origin_mode (none | pinned | gps), origin_latitude, origin_longitude, origin_label: 3 cách chọn điểm xuất phát khi lập roadmap. Chỉ lưu tọa độ khi pinned.</t>
        </is>
      </c>
      <c r="D62" s="36" t="n"/>
      <c r="E62" s="3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32" customHeight="1" s="33">
      <c r="A63" s="9" t="n">
        <v>3</v>
      </c>
      <c r="B63" s="27" t="n"/>
      <c r="C63" s="10" t="inlineStr">
        <is>
          <t>roadmap_generation_jobs.input ghi thêm điểm xuất phát và bán kính đã dùng khi sinh.</t>
        </is>
      </c>
      <c r="D63" s="36" t="n"/>
      <c r="E63" s="3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32" customHeight="1" s="33">
      <c r="A64" s="9" t="n">
        <v>4</v>
      </c>
      <c r="B64" s="27" t="n"/>
      <c r="C64" s="10" t="inlineStr">
        <is>
          <t>Không lưu km / thời gian di chuyển: backend gọi Mapbox Directions khi app cần (RM-14 trong API Design Ver1.7) và cache trong bộ nhớ.</t>
        </is>
      </c>
      <c r="D64" s="36" t="n"/>
      <c r="E64" s="3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5.75" customHeight="1" s="33">
      <c r="A66" s="25" t="inlineStr">
        <is>
          <t>Thay đổi Ver1.2 (07/10/2026)</t>
        </is>
      </c>
      <c r="B66" s="27" t="n"/>
      <c r="C66" s="29"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32" customHeight="1" s="33">
      <c r="A67" s="9" t="n">
        <v>1</v>
      </c>
      <c r="B67" s="27" t="n"/>
      <c r="C67" s="10" t="inlineStr">
        <is>
          <t>recommendation.user_dish_scores thêm implicit_raw (tổng thô r); implicit_score tính từ r. Theo Recommendation_System_Design_Ver1.1 mục 3.2: lưu giá trị đã nén rồi nén tiếp làm Implicit kẹt quanh 0,527.</t>
        </is>
      </c>
      <c r="D67" s="36" t="n"/>
      <c r="E67" s="3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32" customHeight="1" s="33">
      <c r="A68" s="9" t="n">
        <v>2</v>
      </c>
      <c r="B68" s="27" t="n"/>
      <c r="C68" s="10" t="inlineStr">
        <is>
          <t>user_preference_vectors.vec: người chưa có vector thì like/dislike đầu tiên tạo vector = ±β_u·Dish.</t>
        </is>
      </c>
      <c r="D68" s="36" t="n"/>
      <c r="E68" s="3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32" customHeight="1" s="33">
      <c r="A69" s="9" t="n">
        <v>3</v>
      </c>
      <c r="B69" s="27" t="n"/>
      <c r="C69" s="10" t="inlineStr">
        <is>
          <t>algorithm_configs.params: gamma = 0 cho tới giai đoạn 3 (UCB).</t>
        </is>
      </c>
      <c r="D69" s="36" t="n"/>
      <c r="E69" s="3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32" customHeight="1" s="33">
      <c r="A70" s="9" t="n">
        <v>4</v>
      </c>
      <c r="B70" s="27" t="n"/>
      <c r="C70" s="10" t="inlineStr">
        <is>
          <t>recommendation_items.rank: món bằng điểm giữ thứ tự backend gửi.</t>
        </is>
      </c>
      <c r="D70" s="36" t="n"/>
      <c r="E70" s="3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5.75" customHeight="1" s="33">
      <c r="A71" s="9" t="n">
        <v>5</v>
      </c>
      <c r="B71" s="27" t="n"/>
      <c r="C71" s="10" t="inlineStr">
        <is>
          <t>Sheet Recommendation ghi rõ CHECK, unique index và index của schema recommendation (khớp migration 0001 của angi-reco); ô mô tả interaction_events.event_uuid bắt đầu bằng "=" bị Excel coi là công thức, ghi lại thành chữ.</t>
        </is>
      </c>
      <c r="D71" s="36" t="n"/>
      <c r="E71" s="3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5.75" customHeight="1" s="33">
      <c r="A72" s="9" t="n">
        <v>6</v>
      </c>
      <c r="B72" s="27" t="n"/>
      <c r="C72" s="10" t="inlineStr">
        <is>
          <t>Cột Khóa của sheet Core ghi ON DELETE CASCADE (dòng con thuộc về dòng cha) hoặc ON DELETE SET NULL; khóa ngoại không ghi là RESTRICT. Khớp migration của backend.</t>
        </is>
      </c>
      <c r="D72" s="36" t="n"/>
      <c r="E72" s="3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row r="1001">
      <c r="A1001" t="inlineStr">
        <is>
          <t>Chat-only contract 2026-10-27</t>
        </is>
      </c>
      <c r="B1001" t="inlineStr">
        <is>
          <t>UI chỉ chat và Gửi. Request chuẩn chỉ cần content. clientMessageId và expectedConversationVersion là tùy chọn; null/bỏ trống để backend tự cấp ID và dùng version đang khóa. Backend nhận diện thao tác; câu lưu rõ ràng gọi chung code confirm, ghi roadmap/proposal/transcript/replay response trong transaction có lease. Đồng ý đơn lẻ chỉ xác nhận pendingStateChange. Reset tách roadmap, không xóa dữ liệu chính thức. Metadata server-only pendingStateChange/sourceRoadmapVersion/historyStartSequence nằm trong JSONB state hiện có, không thêm cột/migration. AGENT-04 và các trường tùy chọn cũ giữ tương thích.</t>
        </is>
      </c>
    </row>
    <row r="1002">
      <c r="A1002" t="inlineStr">
        <is>
          <t>Agent availability 2026-10-28</t>
        </is>
      </c>
      <c r="B1002" t="inlineStr">
        <is>
          <t>Agent:LlmTimeoutSeconds defaults to 60 per call, capped by the 90-second turn deadline; lease remains 120 seconds. MaxLlmCalls defaults to 8. Retry upstream 500/502/503 at most twice with backoff; retry a short per-minute limit only with provider guidance and sufficient turn time. Never retry daily quota exhaustion, timeout, network, authentication, refusal or truncation. Allow one schema/operation repair. Disable tools after the round ceiling. Parse object/array Gemini errors and RetryInfo. Provider rate/quota failures return HTTP 429 AGENT_UNAVAILABLE; other provider failures return HTTP 503 AGENT_UNAVAILABLE. Application admission limits remain HTTP 429 AGENT_RATE_LIMITED. Preserve Retry-After, caller cancellation and the previous preview. Log only safe fixed labels, status and timings, never prompts, keys or raw error bodies. No database schema change.</t>
        </is>
      </c>
    </row>
    <row r="1003">
      <c r="A1003" t="inlineStr">
        <is>
          <t>Agent lifecycle stabilization 2026-10-29</t>
        </is>
      </c>
      <c r="B1003" t="inlineStr">
        <is>
          <t>Current lifecycle: startDate is optional; require province, duration and budget. Return complete snapshots ordered by day, meal, sortOrder and stable item key, including GET of older proposals. Broad candidate searches never widen mutation scope or force replacing unchanged side dishes. On explicit pending-constraint consent, regenerate in the same turn using the exact accepted state; temporary tool filters do not require fresh consent. Support explicit chot/save aliases; a review-before-save request never commits. Do not replay an obsolete committed preview as a new save after state changes. Catalog-backed tastes only; unsupported sweet/spicy preferences remain notes.</t>
        </is>
      </c>
    </row>
  </sheetData>
  <mergeCells count="12">
    <mergeCell ref="C61:E61"/>
    <mergeCell ref="C63:E63"/>
    <mergeCell ref="C68:E68"/>
    <mergeCell ref="C69:E69"/>
    <mergeCell ref="C64:E64"/>
    <mergeCell ref="C72:E72"/>
    <mergeCell ref="C67:E67"/>
    <mergeCell ref="C71:E71"/>
    <mergeCell ref="C62:E62"/>
    <mergeCell ref="C70:E70"/>
    <mergeCell ref="C66:E66"/>
    <mergeCell ref="C65:E6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38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33" min="1" max="1"/>
    <col width="24" customWidth="1" style="33" min="2" max="2"/>
    <col width="22" customWidth="1" style="33" min="3" max="3"/>
    <col width="13" customWidth="1" style="33" min="4" max="4"/>
    <col width="70" customWidth="1" style="33" min="5" max="5"/>
    <col width="26" customWidth="1" style="33" min="6" max="6"/>
    <col width="22" customWidth="1" style="33" min="7" max="7"/>
    <col width="8.710000000000001" customWidth="1" style="33" min="8" max="26"/>
  </cols>
  <sheetData>
    <row r="1">
      <c r="A1" s="5" t="inlineStr">
        <is>
          <t>Tên bảng</t>
        </is>
      </c>
      <c r="B1" s="5" t="inlineStr">
        <is>
          <t>Tên trường</t>
        </is>
      </c>
      <c r="C1" s="4" t="inlineStr">
        <is>
          <t>Kiểu dữ liệu</t>
        </is>
      </c>
      <c r="D1" s="4" t="inlineStr">
        <is>
          <t>Not null / Nullable</t>
        </is>
      </c>
      <c r="E1" s="4" t="inlineStr">
        <is>
          <t>Mô tả trường</t>
        </is>
      </c>
      <c r="F1" s="4" t="inlineStr">
        <is>
          <t>Khóa</t>
        </is>
      </c>
      <c r="G1" s="4" t="inlineStr">
        <is>
          <t>Mặc định</t>
        </is>
      </c>
      <c r="H1" s="7" t="n"/>
      <c r="I1" s="7" t="n"/>
      <c r="J1" s="7" t="n"/>
      <c r="K1" s="7" t="n"/>
      <c r="L1" s="7" t="n"/>
      <c r="M1" s="7" t="n"/>
      <c r="N1" s="7" t="n"/>
      <c r="O1" s="7" t="n"/>
      <c r="P1" s="7" t="n"/>
      <c r="Q1" s="7" t="n"/>
      <c r="R1" s="7" t="n"/>
      <c r="S1" s="7" t="n"/>
      <c r="T1" s="7" t="n"/>
      <c r="U1" s="7" t="n"/>
      <c r="V1" s="7" t="n"/>
      <c r="W1" s="7" t="n"/>
      <c r="X1" s="7" t="n"/>
      <c r="Y1" s="7" t="n"/>
      <c r="Z1" s="7" t="n"/>
    </row>
    <row r="2">
      <c r="A2" s="34" t="inlineStr">
        <is>
          <t>roles  —  Danh mục role: Traveler, Restaurant Owner, Mod, Admin</t>
        </is>
      </c>
      <c r="H2" s="15" t="n"/>
      <c r="I2" s="15" t="n"/>
      <c r="J2" s="15" t="n"/>
      <c r="K2" s="15" t="n"/>
      <c r="L2" s="15" t="n"/>
      <c r="M2" s="15" t="n"/>
      <c r="N2" s="15" t="n"/>
      <c r="O2" s="15" t="n"/>
      <c r="P2" s="15" t="n"/>
      <c r="Q2" s="15" t="n"/>
      <c r="R2" s="15" t="n"/>
      <c r="S2" s="15" t="n"/>
      <c r="T2" s="15" t="n"/>
      <c r="U2" s="15" t="n"/>
      <c r="V2" s="15" t="n"/>
      <c r="W2" s="15" t="n"/>
      <c r="X2" s="15" t="n"/>
      <c r="Y2" s="15" t="n"/>
      <c r="Z2" s="15" t="n"/>
    </row>
    <row r="3">
      <c r="A3" s="17" t="inlineStr">
        <is>
          <t>roles</t>
        </is>
      </c>
      <c r="B3" s="17" t="inlineStr">
        <is>
          <t>id</t>
        </is>
      </c>
      <c r="C3" s="10" t="inlineStr">
        <is>
          <t>smallint</t>
        </is>
      </c>
      <c r="D3" s="16" t="inlineStr">
        <is>
          <t>NOT NULL</t>
        </is>
      </c>
      <c r="E3" s="10" t="inlineStr">
        <is>
          <t>Khóa chính role</t>
        </is>
      </c>
      <c r="F3" s="10" t="inlineStr">
        <is>
          <t>PK</t>
        </is>
      </c>
      <c r="G3" s="10" t="n"/>
      <c r="H3" s="7" t="n"/>
      <c r="I3" s="7" t="n"/>
      <c r="J3" s="7" t="n"/>
      <c r="K3" s="7" t="n"/>
      <c r="L3" s="7" t="n"/>
      <c r="M3" s="7" t="n"/>
      <c r="N3" s="7" t="n"/>
      <c r="O3" s="7" t="n"/>
      <c r="P3" s="7" t="n"/>
      <c r="Q3" s="7" t="n"/>
      <c r="R3" s="7" t="n"/>
      <c r="S3" s="7" t="n"/>
      <c r="T3" s="7" t="n"/>
      <c r="U3" s="7" t="n"/>
      <c r="V3" s="7" t="n"/>
      <c r="W3" s="7" t="n"/>
      <c r="X3" s="7" t="n"/>
      <c r="Y3" s="7" t="n"/>
      <c r="Z3" s="7" t="n"/>
    </row>
    <row r="4">
      <c r="A4" s="17" t="inlineStr">
        <is>
          <t>roles</t>
        </is>
      </c>
      <c r="B4" s="17" t="inlineStr">
        <is>
          <t>code</t>
        </is>
      </c>
      <c r="C4" s="10" t="inlineStr">
        <is>
          <t>character varying(30)</t>
        </is>
      </c>
      <c r="D4" s="16" t="inlineStr">
        <is>
          <t>NOT NULL</t>
        </is>
      </c>
      <c r="E4" s="10" t="inlineStr">
        <is>
          <t>TRAVELER, RESTAURANT_OWNER, MOD, ADMIN</t>
        </is>
      </c>
      <c r="F4" s="10" t="inlineStr">
        <is>
          <t>UK</t>
        </is>
      </c>
      <c r="G4" s="10" t="n"/>
      <c r="H4" s="7" t="n"/>
      <c r="I4" s="7" t="n"/>
      <c r="J4" s="7" t="n"/>
      <c r="K4" s="7" t="n"/>
      <c r="L4" s="7" t="n"/>
      <c r="M4" s="7" t="n"/>
      <c r="N4" s="7" t="n"/>
      <c r="O4" s="7" t="n"/>
      <c r="P4" s="7" t="n"/>
      <c r="Q4" s="7" t="n"/>
      <c r="R4" s="7" t="n"/>
      <c r="S4" s="7" t="n"/>
      <c r="T4" s="7" t="n"/>
      <c r="U4" s="7" t="n"/>
      <c r="V4" s="7" t="n"/>
      <c r="W4" s="7" t="n"/>
      <c r="X4" s="7" t="n"/>
      <c r="Y4" s="7" t="n"/>
      <c r="Z4" s="7" t="n"/>
    </row>
    <row r="5">
      <c r="A5" s="17" t="inlineStr">
        <is>
          <t>roles</t>
        </is>
      </c>
      <c r="B5" s="17" t="inlineStr">
        <is>
          <t>name</t>
        </is>
      </c>
      <c r="C5" s="10" t="inlineStr">
        <is>
          <t>character varying(100)</t>
        </is>
      </c>
      <c r="D5" s="16" t="inlineStr">
        <is>
          <t>NOT NULL</t>
        </is>
      </c>
      <c r="E5" s="10" t="inlineStr">
        <is>
          <t>Tên hiển thị của role</t>
        </is>
      </c>
      <c r="F5" s="10" t="n"/>
      <c r="G5" s="10" t="n"/>
      <c r="H5" s="7" t="n"/>
      <c r="I5" s="7" t="n"/>
      <c r="J5" s="7" t="n"/>
      <c r="K5" s="7" t="n"/>
      <c r="L5" s="7" t="n"/>
      <c r="M5" s="7" t="n"/>
      <c r="N5" s="7" t="n"/>
      <c r="O5" s="7" t="n"/>
      <c r="P5" s="7" t="n"/>
      <c r="Q5" s="7" t="n"/>
      <c r="R5" s="7" t="n"/>
      <c r="S5" s="7" t="n"/>
      <c r="T5" s="7" t="n"/>
      <c r="U5" s="7" t="n"/>
      <c r="V5" s="7" t="n"/>
      <c r="W5" s="7" t="n"/>
      <c r="X5" s="7" t="n"/>
      <c r="Y5" s="7" t="n"/>
      <c r="Z5" s="7" t="n"/>
    </row>
    <row r="6">
      <c r="A6" s="34" t="inlineStr">
        <is>
          <t>users  —  Tài khoản người dùng (mỗi tài khoản 1 role)</t>
        </is>
      </c>
      <c r="H6" s="15" t="n"/>
      <c r="I6" s="15" t="n"/>
      <c r="J6" s="15" t="n"/>
      <c r="K6" s="15" t="n"/>
      <c r="L6" s="15" t="n"/>
      <c r="M6" s="15" t="n"/>
      <c r="N6" s="15" t="n"/>
      <c r="O6" s="15" t="n"/>
      <c r="P6" s="15" t="n"/>
      <c r="Q6" s="15" t="n"/>
      <c r="R6" s="15" t="n"/>
      <c r="S6" s="15" t="n"/>
      <c r="T6" s="15" t="n"/>
      <c r="U6" s="15" t="n"/>
      <c r="V6" s="15" t="n"/>
      <c r="W6" s="15" t="n"/>
      <c r="X6" s="15" t="n"/>
      <c r="Y6" s="15" t="n"/>
      <c r="Z6" s="15" t="n"/>
    </row>
    <row r="7">
      <c r="A7" s="17" t="inlineStr">
        <is>
          <t>users</t>
        </is>
      </c>
      <c r="B7" s="17" t="inlineStr">
        <is>
          <t>id</t>
        </is>
      </c>
      <c r="C7" s="10" t="inlineStr">
        <is>
          <t>integer</t>
        </is>
      </c>
      <c r="D7" s="16" t="inlineStr">
        <is>
          <t>NOT NULL</t>
        </is>
      </c>
      <c r="E7" s="10" t="inlineStr">
        <is>
          <t>Khóa chính người dùng; cũng là user_id bên recommendation</t>
        </is>
      </c>
      <c r="F7" s="10" t="inlineStr">
        <is>
          <t>PK</t>
        </is>
      </c>
      <c r="G7" s="10" t="n"/>
      <c r="H7" s="7" t="n"/>
      <c r="I7" s="7" t="n"/>
      <c r="J7" s="7" t="n"/>
      <c r="K7" s="7" t="n"/>
      <c r="L7" s="7" t="n"/>
      <c r="M7" s="7" t="n"/>
      <c r="N7" s="7" t="n"/>
      <c r="O7" s="7" t="n"/>
      <c r="P7" s="7" t="n"/>
      <c r="Q7" s="7" t="n"/>
      <c r="R7" s="7" t="n"/>
      <c r="S7" s="7" t="n"/>
      <c r="T7" s="7" t="n"/>
      <c r="U7" s="7" t="n"/>
      <c r="V7" s="7" t="n"/>
      <c r="W7" s="7" t="n"/>
      <c r="X7" s="7" t="n"/>
      <c r="Y7" s="7" t="n"/>
      <c r="Z7" s="7" t="n"/>
    </row>
    <row r="8">
      <c r="A8" s="17" t="inlineStr">
        <is>
          <t>users</t>
        </is>
      </c>
      <c r="B8" s="17" t="inlineStr">
        <is>
          <t>email</t>
        </is>
      </c>
      <c r="C8" s="10" t="inlineStr">
        <is>
          <t>citext</t>
        </is>
      </c>
      <c r="D8" s="16" t="inlineStr">
        <is>
          <t>NOT NULL</t>
        </is>
      </c>
      <c r="E8" s="10" t="inlineStr">
        <is>
          <t>Email đăng nhập, không phân biệt hoa thường; duy nhất trong các tài khoản chưa xóa</t>
        </is>
      </c>
      <c r="F8" s="10" t="inlineStr">
        <is>
          <t>UK (deleted_at IS NULL)</t>
        </is>
      </c>
      <c r="G8" s="10" t="n"/>
      <c r="H8" s="7" t="n"/>
      <c r="I8" s="7" t="n"/>
      <c r="J8" s="7" t="n"/>
      <c r="K8" s="7" t="n"/>
      <c r="L8" s="7" t="n"/>
      <c r="M8" s="7" t="n"/>
      <c r="N8" s="7" t="n"/>
      <c r="O8" s="7" t="n"/>
      <c r="P8" s="7" t="n"/>
      <c r="Q8" s="7" t="n"/>
      <c r="R8" s="7" t="n"/>
      <c r="S8" s="7" t="n"/>
      <c r="T8" s="7" t="n"/>
      <c r="U8" s="7" t="n"/>
      <c r="V8" s="7" t="n"/>
      <c r="W8" s="7" t="n"/>
      <c r="X8" s="7" t="n"/>
      <c r="Y8" s="7" t="n"/>
      <c r="Z8" s="7" t="n"/>
    </row>
    <row r="9">
      <c r="A9" s="17" t="inlineStr">
        <is>
          <t>users</t>
        </is>
      </c>
      <c r="B9" s="17" t="inlineStr">
        <is>
          <t>role_id</t>
        </is>
      </c>
      <c r="C9" s="10" t="inlineStr">
        <is>
          <t>smallint</t>
        </is>
      </c>
      <c r="D9" s="16" t="inlineStr">
        <is>
          <t>NOT NULL</t>
        </is>
      </c>
      <c r="E9" s="10" t="inlineStr">
        <is>
          <t>Role duy nhất của tài khoản (Traveler, Restaurant Owner, Mod, Admin)</t>
        </is>
      </c>
      <c r="F9" s="10" t="inlineStr">
        <is>
          <t>FK → roles</t>
        </is>
      </c>
      <c r="G9" s="10" t="n"/>
      <c r="H9" s="7" t="n"/>
      <c r="I9" s="7" t="n"/>
      <c r="J9" s="7" t="n"/>
      <c r="K9" s="7" t="n"/>
      <c r="L9" s="7" t="n"/>
      <c r="M9" s="7" t="n"/>
      <c r="N9" s="7" t="n"/>
      <c r="O9" s="7" t="n"/>
      <c r="P9" s="7" t="n"/>
      <c r="Q9" s="7" t="n"/>
      <c r="R9" s="7" t="n"/>
      <c r="S9" s="7" t="n"/>
      <c r="T9" s="7" t="n"/>
      <c r="U9" s="7" t="n"/>
      <c r="V9" s="7" t="n"/>
      <c r="W9" s="7" t="n"/>
      <c r="X9" s="7" t="n"/>
      <c r="Y9" s="7" t="n"/>
      <c r="Z9" s="7" t="n"/>
    </row>
    <row r="10">
      <c r="A10" s="17" t="inlineStr">
        <is>
          <t>users</t>
        </is>
      </c>
      <c r="B10" s="17" t="inlineStr">
        <is>
          <t>password_hash</t>
        </is>
      </c>
      <c r="C10" s="10" t="inlineStr">
        <is>
          <t>text</t>
        </is>
      </c>
      <c r="D10" s="10" t="inlineStr">
        <is>
          <t>NULL</t>
        </is>
      </c>
      <c r="E10" s="10" t="inlineStr">
        <is>
          <t>NULL nếu chỉ đăng nhập Google</t>
        </is>
      </c>
      <c r="F10" s="10" t="n"/>
      <c r="G10" s="10" t="n"/>
      <c r="H10" s="7" t="n"/>
      <c r="I10" s="7" t="n"/>
      <c r="J10" s="7" t="n"/>
      <c r="K10" s="7" t="n"/>
      <c r="L10" s="7" t="n"/>
      <c r="M10" s="7" t="n"/>
      <c r="N10" s="7" t="n"/>
      <c r="O10" s="7" t="n"/>
      <c r="P10" s="7" t="n"/>
      <c r="Q10" s="7" t="n"/>
      <c r="R10" s="7" t="n"/>
      <c r="S10" s="7" t="n"/>
      <c r="T10" s="7" t="n"/>
      <c r="U10" s="7" t="n"/>
      <c r="V10" s="7" t="n"/>
      <c r="W10" s="7" t="n"/>
      <c r="X10" s="7" t="n"/>
      <c r="Y10" s="7" t="n"/>
      <c r="Z10" s="7" t="n"/>
    </row>
    <row r="11">
      <c r="A11" s="17" t="inlineStr">
        <is>
          <t>users</t>
        </is>
      </c>
      <c r="B11" s="17" t="inlineStr">
        <is>
          <t>display_name</t>
        </is>
      </c>
      <c r="C11" s="10" t="inlineStr">
        <is>
          <t>character varying(100)</t>
        </is>
      </c>
      <c r="D11" s="16" t="inlineStr">
        <is>
          <t>NOT NULL</t>
        </is>
      </c>
      <c r="E11" s="10" t="inlineStr">
        <is>
          <t>Tên hiển thị</t>
        </is>
      </c>
      <c r="F11" s="10" t="n"/>
      <c r="G11" s="10" t="n"/>
      <c r="H11" s="7" t="n"/>
      <c r="I11" s="7" t="n"/>
      <c r="J11" s="7" t="n"/>
      <c r="K11" s="7" t="n"/>
      <c r="L11" s="7" t="n"/>
      <c r="M11" s="7" t="n"/>
      <c r="N11" s="7" t="n"/>
      <c r="O11" s="7" t="n"/>
      <c r="P11" s="7" t="n"/>
      <c r="Q11" s="7" t="n"/>
      <c r="R11" s="7" t="n"/>
      <c r="S11" s="7" t="n"/>
      <c r="T11" s="7" t="n"/>
      <c r="U11" s="7" t="n"/>
      <c r="V11" s="7" t="n"/>
      <c r="W11" s="7" t="n"/>
      <c r="X11" s="7" t="n"/>
      <c r="Y11" s="7" t="n"/>
      <c r="Z11" s="7" t="n"/>
    </row>
    <row r="12">
      <c r="A12" s="17" t="inlineStr">
        <is>
          <t>users</t>
        </is>
      </c>
      <c r="B12" s="17" t="inlineStr">
        <is>
          <t>avatar_media_id</t>
        </is>
      </c>
      <c r="C12" s="10" t="inlineStr">
        <is>
          <t>bigint</t>
        </is>
      </c>
      <c r="D12" s="10" t="inlineStr">
        <is>
          <t>NULL</t>
        </is>
      </c>
      <c r="E12" s="10" t="inlineStr">
        <is>
          <t>Ảnh đại diện (media_files, purpose = avatar); NULL = chưa có ảnh</t>
        </is>
      </c>
      <c r="F12" s="10" t="inlineStr">
        <is>
          <t>FK → media_files</t>
        </is>
      </c>
      <c r="G12" s="10" t="n"/>
      <c r="H12" s="7" t="n"/>
      <c r="I12" s="7" t="n"/>
      <c r="J12" s="7" t="n"/>
      <c r="K12" s="7" t="n"/>
      <c r="L12" s="7" t="n"/>
      <c r="M12" s="7" t="n"/>
      <c r="N12" s="7" t="n"/>
      <c r="O12" s="7" t="n"/>
      <c r="P12" s="7" t="n"/>
      <c r="Q12" s="7" t="n"/>
      <c r="R12" s="7" t="n"/>
      <c r="S12" s="7" t="n"/>
      <c r="T12" s="7" t="n"/>
      <c r="U12" s="7" t="n"/>
      <c r="V12" s="7" t="n"/>
      <c r="W12" s="7" t="n"/>
      <c r="X12" s="7" t="n"/>
      <c r="Y12" s="7" t="n"/>
      <c r="Z12" s="7" t="n"/>
    </row>
    <row r="13">
      <c r="A13" s="17" t="inlineStr">
        <is>
          <t>users</t>
        </is>
      </c>
      <c r="B13" s="17" t="inlineStr">
        <is>
          <t>phone</t>
        </is>
      </c>
      <c r="C13" s="10" t="inlineStr">
        <is>
          <t>character varying(20)</t>
        </is>
      </c>
      <c r="D13" s="10" t="inlineStr">
        <is>
          <t>NULL</t>
        </is>
      </c>
      <c r="E13" s="10" t="inlineStr">
        <is>
          <t>Số điện thoại</t>
        </is>
      </c>
      <c r="F13" s="10" t="n"/>
      <c r="G13" s="10" t="n"/>
      <c r="H13" s="7" t="n"/>
      <c r="I13" s="7" t="n"/>
      <c r="J13" s="7" t="n"/>
      <c r="K13" s="7" t="n"/>
      <c r="L13" s="7" t="n"/>
      <c r="M13" s="7" t="n"/>
      <c r="N13" s="7" t="n"/>
      <c r="O13" s="7" t="n"/>
      <c r="P13" s="7" t="n"/>
      <c r="Q13" s="7" t="n"/>
      <c r="R13" s="7" t="n"/>
      <c r="S13" s="7" t="n"/>
      <c r="T13" s="7" t="n"/>
      <c r="U13" s="7" t="n"/>
      <c r="V13" s="7" t="n"/>
      <c r="W13" s="7" t="n"/>
      <c r="X13" s="7" t="n"/>
      <c r="Y13" s="7" t="n"/>
      <c r="Z13" s="7" t="n"/>
    </row>
    <row r="14">
      <c r="A14" s="17" t="inlineStr">
        <is>
          <t>users</t>
        </is>
      </c>
      <c r="B14" s="17" t="inlineStr">
        <is>
          <t>bio</t>
        </is>
      </c>
      <c r="C14" s="10" t="inlineStr">
        <is>
          <t>character varying(500)</t>
        </is>
      </c>
      <c r="D14" s="10" t="inlineStr">
        <is>
          <t>NULL</t>
        </is>
      </c>
      <c r="E14" s="10" t="inlineStr">
        <is>
          <t>Giới thiệu ngắn</t>
        </is>
      </c>
      <c r="F14" s="10" t="n"/>
      <c r="G14" s="10" t="n"/>
      <c r="H14" s="7" t="n"/>
      <c r="I14" s="7" t="n"/>
      <c r="J14" s="7" t="n"/>
      <c r="K14" s="7" t="n"/>
      <c r="L14" s="7" t="n"/>
      <c r="M14" s="7" t="n"/>
      <c r="N14" s="7" t="n"/>
      <c r="O14" s="7" t="n"/>
      <c r="P14" s="7" t="n"/>
      <c r="Q14" s="7" t="n"/>
      <c r="R14" s="7" t="n"/>
      <c r="S14" s="7" t="n"/>
      <c r="T14" s="7" t="n"/>
      <c r="U14" s="7" t="n"/>
      <c r="V14" s="7" t="n"/>
      <c r="W14" s="7" t="n"/>
      <c r="X14" s="7" t="n"/>
      <c r="Y14" s="7" t="n"/>
      <c r="Z14" s="7" t="n"/>
    </row>
    <row r="15">
      <c r="A15" s="17" t="inlineStr">
        <is>
          <t>users</t>
        </is>
      </c>
      <c r="B15" s="17" t="inlineStr">
        <is>
          <t>email_verified_at</t>
        </is>
      </c>
      <c r="C15" s="10" t="inlineStr">
        <is>
          <t>timestamp with time zone</t>
        </is>
      </c>
      <c r="D15" s="10" t="inlineStr">
        <is>
          <t>NULL</t>
        </is>
      </c>
      <c r="E15" s="10" t="inlineStr">
        <is>
          <t>Thời điểm xác minh email; NULL = chưa xác minh</t>
        </is>
      </c>
      <c r="F15" s="10" t="n"/>
      <c r="G15" s="10" t="n"/>
      <c r="H15" s="7" t="n"/>
      <c r="I15" s="7" t="n"/>
      <c r="J15" s="7" t="n"/>
      <c r="K15" s="7" t="n"/>
      <c r="L15" s="7" t="n"/>
      <c r="M15" s="7" t="n"/>
      <c r="N15" s="7" t="n"/>
      <c r="O15" s="7" t="n"/>
      <c r="P15" s="7" t="n"/>
      <c r="Q15" s="7" t="n"/>
      <c r="R15" s="7" t="n"/>
      <c r="S15" s="7" t="n"/>
      <c r="T15" s="7" t="n"/>
      <c r="U15" s="7" t="n"/>
      <c r="V15" s="7" t="n"/>
      <c r="W15" s="7" t="n"/>
      <c r="X15" s="7" t="n"/>
      <c r="Y15" s="7" t="n"/>
      <c r="Z15" s="7" t="n"/>
    </row>
    <row r="16">
      <c r="A16" s="17" t="inlineStr">
        <is>
          <t>users</t>
        </is>
      </c>
      <c r="B16" s="17" t="inlineStr">
        <is>
          <t>status</t>
        </is>
      </c>
      <c r="C16" s="10" t="inlineStr">
        <is>
          <t>character varying(20)</t>
        </is>
      </c>
      <c r="D16" s="16" t="inlineStr">
        <is>
          <t>NOT NULL</t>
        </is>
      </c>
      <c r="E16" s="10" t="inlineStr">
        <is>
          <t>Trạng thái tài khoản: pending_verification, active, suspended, banned, deactivated</t>
        </is>
      </c>
      <c r="F16" s="10" t="n"/>
      <c r="G16" s="10" t="inlineStr">
        <is>
          <t>"pending_verification"</t>
        </is>
      </c>
      <c r="H16" s="7" t="n"/>
      <c r="I16" s="7" t="n"/>
      <c r="J16" s="7" t="n"/>
      <c r="K16" s="7" t="n"/>
      <c r="L16" s="7" t="n"/>
      <c r="M16" s="7" t="n"/>
      <c r="N16" s="7" t="n"/>
      <c r="O16" s="7" t="n"/>
      <c r="P16" s="7" t="n"/>
      <c r="Q16" s="7" t="n"/>
      <c r="R16" s="7" t="n"/>
      <c r="S16" s="7" t="n"/>
      <c r="T16" s="7" t="n"/>
      <c r="U16" s="7" t="n"/>
      <c r="V16" s="7" t="n"/>
      <c r="W16" s="7" t="n"/>
      <c r="X16" s="7" t="n"/>
      <c r="Y16" s="7" t="n"/>
      <c r="Z16" s="7" t="n"/>
    </row>
    <row r="17">
      <c r="A17" s="17" t="inlineStr">
        <is>
          <t>users</t>
        </is>
      </c>
      <c r="B17" s="17" t="inlineStr">
        <is>
          <t>suspended_until</t>
        </is>
      </c>
      <c r="C17" s="10" t="inlineStr">
        <is>
          <t>timestamp with time zone</t>
        </is>
      </c>
      <c r="D17" s="10" t="inlineStr">
        <is>
          <t>NULL</t>
        </is>
      </c>
      <c r="E17" s="10" t="inlineStr">
        <is>
          <t>Chỉ dùng khi status = 'suspended'</t>
        </is>
      </c>
      <c r="F17" s="10" t="n"/>
      <c r="G17" s="10" t="n"/>
      <c r="H17" s="7" t="n"/>
      <c r="I17" s="7" t="n"/>
      <c r="J17" s="7" t="n"/>
      <c r="K17" s="7" t="n"/>
      <c r="L17" s="7" t="n"/>
      <c r="M17" s="7" t="n"/>
      <c r="N17" s="7" t="n"/>
      <c r="O17" s="7" t="n"/>
      <c r="P17" s="7" t="n"/>
      <c r="Q17" s="7" t="n"/>
      <c r="R17" s="7" t="n"/>
      <c r="S17" s="7" t="n"/>
      <c r="T17" s="7" t="n"/>
      <c r="U17" s="7" t="n"/>
      <c r="V17" s="7" t="n"/>
      <c r="W17" s="7" t="n"/>
      <c r="X17" s="7" t="n"/>
      <c r="Y17" s="7" t="n"/>
      <c r="Z17" s="7" t="n"/>
    </row>
    <row r="18">
      <c r="A18" s="17" t="inlineStr">
        <is>
          <t>users</t>
        </is>
      </c>
      <c r="B18" s="17" t="inlineStr">
        <is>
          <t>last_login_at</t>
        </is>
      </c>
      <c r="C18" s="10" t="inlineStr">
        <is>
          <t>timestamp with time zone</t>
        </is>
      </c>
      <c r="D18" s="10" t="inlineStr">
        <is>
          <t>NULL</t>
        </is>
      </c>
      <c r="E18" s="10" t="inlineStr">
        <is>
          <t>Lần đăng nhập gần nhất</t>
        </is>
      </c>
      <c r="F18" s="10" t="n"/>
      <c r="G18" s="10" t="n"/>
      <c r="H18" s="7" t="n"/>
      <c r="I18" s="7" t="n"/>
      <c r="J18" s="7" t="n"/>
      <c r="K18" s="7" t="n"/>
      <c r="L18" s="7" t="n"/>
      <c r="M18" s="7" t="n"/>
      <c r="N18" s="7" t="n"/>
      <c r="O18" s="7" t="n"/>
      <c r="P18" s="7" t="n"/>
      <c r="Q18" s="7" t="n"/>
      <c r="R18" s="7" t="n"/>
      <c r="S18" s="7" t="n"/>
      <c r="T18" s="7" t="n"/>
      <c r="U18" s="7" t="n"/>
      <c r="V18" s="7" t="n"/>
      <c r="W18" s="7" t="n"/>
      <c r="X18" s="7" t="n"/>
      <c r="Y18" s="7" t="n"/>
      <c r="Z18" s="7" t="n"/>
    </row>
    <row r="19">
      <c r="A19" s="17" t="inlineStr">
        <is>
          <t>users</t>
        </is>
      </c>
      <c r="B19" s="17" t="inlineStr">
        <is>
          <t>created_at</t>
        </is>
      </c>
      <c r="C19" s="10" t="inlineStr">
        <is>
          <t>timestamp with time zone</t>
        </is>
      </c>
      <c r="D19" s="16" t="inlineStr">
        <is>
          <t>NOT NULL</t>
        </is>
      </c>
      <c r="E19" s="10" t="inlineStr">
        <is>
          <t>Thời điểm tạo</t>
        </is>
      </c>
      <c r="F19" s="10" t="n"/>
      <c r="G19" s="10" t="inlineStr">
        <is>
          <t>now()</t>
        </is>
      </c>
      <c r="H19" s="7" t="n"/>
      <c r="I19" s="7" t="n"/>
      <c r="J19" s="7" t="n"/>
      <c r="K19" s="7" t="n"/>
      <c r="L19" s="7" t="n"/>
      <c r="M19" s="7" t="n"/>
      <c r="N19" s="7" t="n"/>
      <c r="O19" s="7" t="n"/>
      <c r="P19" s="7" t="n"/>
      <c r="Q19" s="7" t="n"/>
      <c r="R19" s="7" t="n"/>
      <c r="S19" s="7" t="n"/>
      <c r="T19" s="7" t="n"/>
      <c r="U19" s="7" t="n"/>
      <c r="V19" s="7" t="n"/>
      <c r="W19" s="7" t="n"/>
      <c r="X19" s="7" t="n"/>
      <c r="Y19" s="7" t="n"/>
      <c r="Z19" s="7" t="n"/>
    </row>
    <row r="20">
      <c r="A20" s="17" t="inlineStr">
        <is>
          <t>users</t>
        </is>
      </c>
      <c r="B20" s="17" t="inlineStr">
        <is>
          <t>updated_at</t>
        </is>
      </c>
      <c r="C20" s="10" t="inlineStr">
        <is>
          <t>timestamp with time zone</t>
        </is>
      </c>
      <c r="D20" s="16" t="inlineStr">
        <is>
          <t>NOT NULL</t>
        </is>
      </c>
      <c r="E20" s="10" t="inlineStr">
        <is>
          <t>Thời điểm cập nhật gần nhất</t>
        </is>
      </c>
      <c r="F20" s="10" t="n"/>
      <c r="G20" s="10" t="inlineStr">
        <is>
          <t>now()</t>
        </is>
      </c>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s="33">
      <c r="A21" s="17" t="inlineStr">
        <is>
          <t>users</t>
        </is>
      </c>
      <c r="B21" s="17" t="inlineStr">
        <is>
          <t>deleted_at</t>
        </is>
      </c>
      <c r="C21" s="10" t="inlineStr">
        <is>
          <t>timestamp with time zone</t>
        </is>
      </c>
      <c r="D21" s="10" t="inlineStr">
        <is>
          <t>NULL</t>
        </is>
      </c>
      <c r="E21" s="10" t="inlineStr">
        <is>
          <t>Thời điểm xóa mềm; NULL = chưa xóa</t>
        </is>
      </c>
      <c r="F21" s="10" t="n"/>
      <c r="G21" s="10"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s="33">
      <c r="A22" s="34" t="inlineStr">
        <is>
          <t>permissions  —  Danh mục quyền chi tiết</t>
        </is>
      </c>
      <c r="H22" s="15" t="n"/>
      <c r="I22" s="15" t="n"/>
      <c r="J22" s="15" t="n"/>
      <c r="K22" s="15" t="n"/>
      <c r="L22" s="15" t="n"/>
      <c r="M22" s="15" t="n"/>
      <c r="N22" s="15" t="n"/>
      <c r="O22" s="15" t="n"/>
      <c r="P22" s="15" t="n"/>
      <c r="Q22" s="15" t="n"/>
      <c r="R22" s="15" t="n"/>
      <c r="S22" s="15" t="n"/>
      <c r="T22" s="15" t="n"/>
      <c r="U22" s="15" t="n"/>
      <c r="V22" s="15" t="n"/>
      <c r="W22" s="15" t="n"/>
      <c r="X22" s="15" t="n"/>
      <c r="Y22" s="15" t="n"/>
      <c r="Z22" s="15" t="n"/>
    </row>
    <row r="23" ht="15.75" customHeight="1" s="33">
      <c r="A23" s="17" t="inlineStr">
        <is>
          <t>permissions</t>
        </is>
      </c>
      <c r="B23" s="17" t="inlineStr">
        <is>
          <t>id</t>
        </is>
      </c>
      <c r="C23" s="10" t="inlineStr">
        <is>
          <t>smallint</t>
        </is>
      </c>
      <c r="D23" s="16" t="inlineStr">
        <is>
          <t>NOT NULL</t>
        </is>
      </c>
      <c r="E23" s="10" t="inlineStr">
        <is>
          <t>Khóa chính quyền</t>
        </is>
      </c>
      <c r="F23" s="10" t="inlineStr">
        <is>
          <t>PK</t>
        </is>
      </c>
      <c r="G23" s="10"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s="33">
      <c r="A24" s="17" t="inlineStr">
        <is>
          <t>permissions</t>
        </is>
      </c>
      <c r="B24" s="17" t="inlineStr">
        <is>
          <t>code</t>
        </is>
      </c>
      <c r="C24" s="10" t="inlineStr">
        <is>
          <t>character varying(60)</t>
        </is>
      </c>
      <c r="D24" s="16" t="inlineStr">
        <is>
          <t>NOT NULL</t>
        </is>
      </c>
      <c r="E24" s="10" t="inlineStr">
        <is>
          <t>Vd: USER_BAN, RESTAURANT_VERIFY, MENU_APPROVE, BLOG_MODERATE</t>
        </is>
      </c>
      <c r="F24" s="10" t="inlineStr">
        <is>
          <t>UK</t>
        </is>
      </c>
      <c r="G24" s="10"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s="33">
      <c r="A25" s="17" t="inlineStr">
        <is>
          <t>permissions</t>
        </is>
      </c>
      <c r="B25" s="17" t="inlineStr">
        <is>
          <t>description</t>
        </is>
      </c>
      <c r="C25" s="10" t="inlineStr">
        <is>
          <t>character varying(255)</t>
        </is>
      </c>
      <c r="D25" s="10" t="inlineStr">
        <is>
          <t>NULL</t>
        </is>
      </c>
      <c r="E25" s="10" t="inlineStr">
        <is>
          <t>Mô tả quyền</t>
        </is>
      </c>
      <c r="F25" s="10" t="n"/>
      <c r="G25" s="10"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s="33">
      <c r="A26" s="34" t="inlineStr">
        <is>
          <t>role_permissions  —  Quyền mặc định của từng role</t>
        </is>
      </c>
      <c r="H26" s="15" t="n"/>
      <c r="I26" s="15" t="n"/>
      <c r="J26" s="15" t="n"/>
      <c r="K26" s="15" t="n"/>
      <c r="L26" s="15" t="n"/>
      <c r="M26" s="15" t="n"/>
      <c r="N26" s="15" t="n"/>
      <c r="O26" s="15" t="n"/>
      <c r="P26" s="15" t="n"/>
      <c r="Q26" s="15" t="n"/>
      <c r="R26" s="15" t="n"/>
      <c r="S26" s="15" t="n"/>
      <c r="T26" s="15" t="n"/>
      <c r="U26" s="15" t="n"/>
      <c r="V26" s="15" t="n"/>
      <c r="W26" s="15" t="n"/>
      <c r="X26" s="15" t="n"/>
      <c r="Y26" s="15" t="n"/>
      <c r="Z26" s="15" t="n"/>
    </row>
    <row r="27" ht="15.75" customHeight="1" s="33">
      <c r="A27" s="17" t="inlineStr">
        <is>
          <t>role_permissions</t>
        </is>
      </c>
      <c r="B27" s="17" t="inlineStr">
        <is>
          <t>role_id</t>
        </is>
      </c>
      <c r="C27" s="10" t="inlineStr">
        <is>
          <t>smallint</t>
        </is>
      </c>
      <c r="D27" s="16" t="inlineStr">
        <is>
          <t>NOT NULL</t>
        </is>
      </c>
      <c r="E27" s="10" t="inlineStr">
        <is>
          <t>Role được cấp quyền</t>
        </is>
      </c>
      <c r="F27" s="10" t="inlineStr">
        <is>
          <t>PK (ghép), FK → roles (ON DELETE CASCADE)</t>
        </is>
      </c>
      <c r="G27" s="10"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s="33">
      <c r="A28" s="17" t="inlineStr">
        <is>
          <t>role_permissions</t>
        </is>
      </c>
      <c r="B28" s="17" t="inlineStr">
        <is>
          <t>permission_id</t>
        </is>
      </c>
      <c r="C28" s="10" t="inlineStr">
        <is>
          <t>smallint</t>
        </is>
      </c>
      <c r="D28" s="16" t="inlineStr">
        <is>
          <t>NOT NULL</t>
        </is>
      </c>
      <c r="E28" s="10" t="inlineStr">
        <is>
          <t>Quyền mặc định của role</t>
        </is>
      </c>
      <c r="F28" s="10" t="inlineStr">
        <is>
          <t>PK (ghép), FK → permissions (ON DELETE CASCADE)</t>
        </is>
      </c>
      <c r="G28" s="10"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s="33">
      <c r="A29" s="34" t="inlineStr">
        <is>
          <t>user_permissions  —  Ghi đè quyền cho từng user (Admin quản lý quyền của Mod)</t>
        </is>
      </c>
      <c r="H29" s="15" t="n"/>
      <c r="I29" s="15" t="n"/>
      <c r="J29" s="15" t="n"/>
      <c r="K29" s="15" t="n"/>
      <c r="L29" s="15" t="n"/>
      <c r="M29" s="15" t="n"/>
      <c r="N29" s="15" t="n"/>
      <c r="O29" s="15" t="n"/>
      <c r="P29" s="15" t="n"/>
      <c r="Q29" s="15" t="n"/>
      <c r="R29" s="15" t="n"/>
      <c r="S29" s="15" t="n"/>
      <c r="T29" s="15" t="n"/>
      <c r="U29" s="15" t="n"/>
      <c r="V29" s="15" t="n"/>
      <c r="W29" s="15" t="n"/>
      <c r="X29" s="15" t="n"/>
      <c r="Y29" s="15" t="n"/>
      <c r="Z29" s="15" t="n"/>
    </row>
    <row r="30" ht="15.75" customHeight="1" s="33">
      <c r="A30" s="17" t="inlineStr">
        <is>
          <t>user_permissions</t>
        </is>
      </c>
      <c r="B30" s="17" t="inlineStr">
        <is>
          <t>user_id</t>
        </is>
      </c>
      <c r="C30" s="10" t="inlineStr">
        <is>
          <t>integer</t>
        </is>
      </c>
      <c r="D30" s="16" t="inlineStr">
        <is>
          <t>NOT NULL</t>
        </is>
      </c>
      <c r="E30" s="10" t="inlineStr">
        <is>
          <t>User (thường là Mod) được ghi đè quyền</t>
        </is>
      </c>
      <c r="F30" s="10" t="inlineStr">
        <is>
          <t>PK (ghép), FK → users (ON DELETE CASCADE)</t>
        </is>
      </c>
      <c r="G30" s="10"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s="33">
      <c r="A31" s="17" t="inlineStr">
        <is>
          <t>user_permissions</t>
        </is>
      </c>
      <c r="B31" s="17" t="inlineStr">
        <is>
          <t>permission_id</t>
        </is>
      </c>
      <c r="C31" s="10" t="inlineStr">
        <is>
          <t>smallint</t>
        </is>
      </c>
      <c r="D31" s="16" t="inlineStr">
        <is>
          <t>NOT NULL</t>
        </is>
      </c>
      <c r="E31" s="10" t="inlineStr">
        <is>
          <t>Quyền bị ghi đè</t>
        </is>
      </c>
      <c r="F31" s="10" t="inlineStr">
        <is>
          <t>PK (ghép), FK → permissions (ON DELETE CASCADE)</t>
        </is>
      </c>
      <c r="G31" s="10"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s="33">
      <c r="A32" s="17" t="inlineStr">
        <is>
          <t>user_permissions</t>
        </is>
      </c>
      <c r="B32" s="17" t="inlineStr">
        <is>
          <t>effect</t>
        </is>
      </c>
      <c r="C32" s="10" t="inlineStr">
        <is>
          <t>character varying(5)</t>
        </is>
      </c>
      <c r="D32" s="16" t="inlineStr">
        <is>
          <t>NOT NULL</t>
        </is>
      </c>
      <c r="E32" s="10" t="inlineStr">
        <is>
          <t>allow = cấp thêm, deny = thu hồi so với quyền của role</t>
        </is>
      </c>
      <c r="F32" s="10" t="n"/>
      <c r="G32" s="10" t="inlineStr">
        <is>
          <t>"allow"</t>
        </is>
      </c>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s="33">
      <c r="A33" s="17" t="inlineStr">
        <is>
          <t>user_permissions</t>
        </is>
      </c>
      <c r="B33" s="17" t="inlineStr">
        <is>
          <t>granted_by</t>
        </is>
      </c>
      <c r="C33" s="10" t="inlineStr">
        <is>
          <t>integer</t>
        </is>
      </c>
      <c r="D33" s="10" t="inlineStr">
        <is>
          <t>NULL</t>
        </is>
      </c>
      <c r="E33" s="10" t="inlineStr">
        <is>
          <t>Admin thực hiện</t>
        </is>
      </c>
      <c r="F33" s="10" t="inlineStr">
        <is>
          <t>FK → users</t>
        </is>
      </c>
      <c r="G33" s="10"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s="33">
      <c r="A34" s="17" t="inlineStr">
        <is>
          <t>user_permissions</t>
        </is>
      </c>
      <c r="B34" s="17" t="inlineStr">
        <is>
          <t>granted_at</t>
        </is>
      </c>
      <c r="C34" s="10" t="inlineStr">
        <is>
          <t>timestamp with time zone</t>
        </is>
      </c>
      <c r="D34" s="16" t="inlineStr">
        <is>
          <t>NOT NULL</t>
        </is>
      </c>
      <c r="E34" s="10" t="inlineStr">
        <is>
          <t>Thời điểm cấp/thu</t>
        </is>
      </c>
      <c r="F34" s="10" t="n"/>
      <c r="G34" s="10" t="inlineStr">
        <is>
          <t>now()</t>
        </is>
      </c>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s="33">
      <c r="A35" s="34" t="inlineStr">
        <is>
          <t>user_external_logins  —  Liên kết đăng nhập Google</t>
        </is>
      </c>
      <c r="H35" s="15" t="n"/>
      <c r="I35" s="15" t="n"/>
      <c r="J35" s="15" t="n"/>
      <c r="K35" s="15" t="n"/>
      <c r="L35" s="15" t="n"/>
      <c r="M35" s="15" t="n"/>
      <c r="N35" s="15" t="n"/>
      <c r="O35" s="15" t="n"/>
      <c r="P35" s="15" t="n"/>
      <c r="Q35" s="15" t="n"/>
      <c r="R35" s="15" t="n"/>
      <c r="S35" s="15" t="n"/>
      <c r="T35" s="15" t="n"/>
      <c r="U35" s="15" t="n"/>
      <c r="V35" s="15" t="n"/>
      <c r="W35" s="15" t="n"/>
      <c r="X35" s="15" t="n"/>
      <c r="Y35" s="15" t="n"/>
      <c r="Z35" s="15" t="n"/>
    </row>
    <row r="36" ht="15.75" customHeight="1" s="33">
      <c r="A36" s="17" t="inlineStr">
        <is>
          <t>user_external_logins</t>
        </is>
      </c>
      <c r="B36" s="17" t="inlineStr">
        <is>
          <t>id</t>
        </is>
      </c>
      <c r="C36" s="10" t="inlineStr">
        <is>
          <t>bigint</t>
        </is>
      </c>
      <c r="D36" s="16" t="inlineStr">
        <is>
          <t>NOT NULL</t>
        </is>
      </c>
      <c r="E36" s="10" t="inlineStr">
        <is>
          <t>Khóa chính</t>
        </is>
      </c>
      <c r="F36" s="10" t="inlineStr">
        <is>
          <t>PK</t>
        </is>
      </c>
      <c r="G36" s="10"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s="33">
      <c r="A37" s="17" t="inlineStr">
        <is>
          <t>user_external_logins</t>
        </is>
      </c>
      <c r="B37" s="17" t="inlineStr">
        <is>
          <t>user_id</t>
        </is>
      </c>
      <c r="C37" s="10" t="inlineStr">
        <is>
          <t>integer</t>
        </is>
      </c>
      <c r="D37" s="16" t="inlineStr">
        <is>
          <t>NOT NULL</t>
        </is>
      </c>
      <c r="E37" s="10" t="inlineStr">
        <is>
          <t>Tài khoản ANGI được liên kết</t>
        </is>
      </c>
      <c r="F37" s="10" t="inlineStr">
        <is>
          <t>UK (ghép), FK → users (ON DELETE CASCADE)</t>
        </is>
      </c>
      <c r="G37" s="10"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s="33">
      <c r="A38" s="17" t="inlineStr">
        <is>
          <t>user_external_logins</t>
        </is>
      </c>
      <c r="B38" s="17" t="inlineStr">
        <is>
          <t>provider</t>
        </is>
      </c>
      <c r="C38" s="10" t="inlineStr">
        <is>
          <t>character varying(20)</t>
        </is>
      </c>
      <c r="D38" s="16" t="inlineStr">
        <is>
          <t>NOT NULL</t>
        </is>
      </c>
      <c r="E38" s="10" t="inlineStr">
        <is>
          <t>Nhà cung cấp đăng nhập (hiện chỉ google)</t>
        </is>
      </c>
      <c r="F38" s="10" t="inlineStr">
        <is>
          <t>UK (ghép)</t>
        </is>
      </c>
      <c r="G38" s="10"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s="33">
      <c r="A39" s="17" t="inlineStr">
        <is>
          <t>user_external_logins</t>
        </is>
      </c>
      <c r="B39" s="17" t="inlineStr">
        <is>
          <t>provider_user_id</t>
        </is>
      </c>
      <c r="C39" s="10" t="inlineStr">
        <is>
          <t>character varying(255)</t>
        </is>
      </c>
      <c r="D39" s="16" t="inlineStr">
        <is>
          <t>NOT NULL</t>
        </is>
      </c>
      <c r="E39" s="10" t="inlineStr">
        <is>
          <t>Id người dùng phía Google (claim "sub")</t>
        </is>
      </c>
      <c r="F39" s="10" t="inlineStr">
        <is>
          <t>UK (ghép)</t>
        </is>
      </c>
      <c r="G39" s="10"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s="33">
      <c r="A40" s="17" t="inlineStr">
        <is>
          <t>user_external_logins</t>
        </is>
      </c>
      <c r="B40" s="17" t="inlineStr">
        <is>
          <t>linked_at</t>
        </is>
      </c>
      <c r="C40" s="10" t="inlineStr">
        <is>
          <t>timestamp with time zone</t>
        </is>
      </c>
      <c r="D40" s="16" t="inlineStr">
        <is>
          <t>NOT NULL</t>
        </is>
      </c>
      <c r="E40" s="10" t="inlineStr">
        <is>
          <t>Thời điểm liên kết</t>
        </is>
      </c>
      <c r="F40" s="10" t="n"/>
      <c r="G40" s="10" t="inlineStr">
        <is>
          <t>now()</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s="33">
      <c r="A41" s="34" t="inlineStr">
        <is>
          <t>user_tokens  —  Token xác minh email và reset mật khẩu</t>
        </is>
      </c>
      <c r="H41" s="15" t="n"/>
      <c r="I41" s="15" t="n"/>
      <c r="J41" s="15" t="n"/>
      <c r="K41" s="15" t="n"/>
      <c r="L41" s="15" t="n"/>
      <c r="M41" s="15" t="n"/>
      <c r="N41" s="15" t="n"/>
      <c r="O41" s="15" t="n"/>
      <c r="P41" s="15" t="n"/>
      <c r="Q41" s="15" t="n"/>
      <c r="R41" s="15" t="n"/>
      <c r="S41" s="15" t="n"/>
      <c r="T41" s="15" t="n"/>
      <c r="U41" s="15" t="n"/>
      <c r="V41" s="15" t="n"/>
      <c r="W41" s="15" t="n"/>
      <c r="X41" s="15" t="n"/>
      <c r="Y41" s="15" t="n"/>
      <c r="Z41" s="15" t="n"/>
    </row>
    <row r="42" ht="15.75" customHeight="1" s="33">
      <c r="A42" s="17" t="inlineStr">
        <is>
          <t>user_tokens</t>
        </is>
      </c>
      <c r="B42" s="17" t="inlineStr">
        <is>
          <t>id</t>
        </is>
      </c>
      <c r="C42" s="10" t="inlineStr">
        <is>
          <t>bigint</t>
        </is>
      </c>
      <c r="D42" s="16" t="inlineStr">
        <is>
          <t>NOT NULL</t>
        </is>
      </c>
      <c r="E42" s="10" t="inlineStr">
        <is>
          <t>Khóa chính</t>
        </is>
      </c>
      <c r="F42" s="10" t="inlineStr">
        <is>
          <t>PK</t>
        </is>
      </c>
      <c r="G42" s="10"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s="33">
      <c r="A43" s="17" t="inlineStr">
        <is>
          <t>user_tokens</t>
        </is>
      </c>
      <c r="B43" s="17" t="inlineStr">
        <is>
          <t>user_id</t>
        </is>
      </c>
      <c r="C43" s="10" t="inlineStr">
        <is>
          <t>integer</t>
        </is>
      </c>
      <c r="D43" s="16" t="inlineStr">
        <is>
          <t>NOT NULL</t>
        </is>
      </c>
      <c r="E43" s="10" t="inlineStr">
        <is>
          <t>Chủ token</t>
        </is>
      </c>
      <c r="F43" s="10" t="inlineStr">
        <is>
          <t>FK → users (ON DELETE CASCADE)</t>
        </is>
      </c>
      <c r="G43" s="10"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s="33">
      <c r="A44" s="17" t="inlineStr">
        <is>
          <t>user_tokens</t>
        </is>
      </c>
      <c r="B44" s="17" t="inlineStr">
        <is>
          <t>purpose</t>
        </is>
      </c>
      <c r="C44" s="10" t="inlineStr">
        <is>
          <t>character varying(20)</t>
        </is>
      </c>
      <c r="D44" s="16" t="inlineStr">
        <is>
          <t>NOT NULL</t>
        </is>
      </c>
      <c r="E44" s="10" t="inlineStr">
        <is>
          <t>Mục đích: email_verify hoặc password_reset</t>
        </is>
      </c>
      <c r="F44" s="10" t="n"/>
      <c r="G44" s="10"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s="33">
      <c r="A45" s="17" t="inlineStr">
        <is>
          <t>user_tokens</t>
        </is>
      </c>
      <c r="B45" s="17" t="inlineStr">
        <is>
          <t>token_hash</t>
        </is>
      </c>
      <c r="C45" s="10" t="inlineStr">
        <is>
          <t>text</t>
        </is>
      </c>
      <c r="D45" s="16" t="inlineStr">
        <is>
          <t>NOT NULL</t>
        </is>
      </c>
      <c r="E45" s="10" t="inlineStr">
        <is>
          <t>Hash của token/mã gửi qua email (không lưu bản gốc)</t>
        </is>
      </c>
      <c r="F45" s="10" t="inlineStr">
        <is>
          <t>UK</t>
        </is>
      </c>
      <c r="G45" s="10"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s="33">
      <c r="A46" s="17" t="inlineStr">
        <is>
          <t>user_tokens</t>
        </is>
      </c>
      <c r="B46" s="17" t="inlineStr">
        <is>
          <t>expires_at</t>
        </is>
      </c>
      <c r="C46" s="10" t="inlineStr">
        <is>
          <t>timestamp with time zone</t>
        </is>
      </c>
      <c r="D46" s="16" t="inlineStr">
        <is>
          <t>NOT NULL</t>
        </is>
      </c>
      <c r="E46" s="10" t="inlineStr">
        <is>
          <t>Hết hạn</t>
        </is>
      </c>
      <c r="F46" s="10" t="n"/>
      <c r="G46" s="10"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s="33">
      <c r="A47" s="17" t="inlineStr">
        <is>
          <t>user_tokens</t>
        </is>
      </c>
      <c r="B47" s="17" t="inlineStr">
        <is>
          <t>used_at</t>
        </is>
      </c>
      <c r="C47" s="10" t="inlineStr">
        <is>
          <t>timestamp with time zone</t>
        </is>
      </c>
      <c r="D47" s="10" t="inlineStr">
        <is>
          <t>NULL</t>
        </is>
      </c>
      <c r="E47" s="10" t="inlineStr">
        <is>
          <t>Thời điểm đã dùng; NULL = chưa dùng (dùng 1 lần)</t>
        </is>
      </c>
      <c r="F47" s="10" t="n"/>
      <c r="G47" s="10"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s="33">
      <c r="A48" s="17" t="inlineStr">
        <is>
          <t>user_tokens</t>
        </is>
      </c>
      <c r="B48" s="17" t="inlineStr">
        <is>
          <t>created_at</t>
        </is>
      </c>
      <c r="C48" s="10" t="inlineStr">
        <is>
          <t>timestamp with time zone</t>
        </is>
      </c>
      <c r="D48" s="16" t="inlineStr">
        <is>
          <t>NOT NULL</t>
        </is>
      </c>
      <c r="E48" s="10" t="inlineStr">
        <is>
          <t>Thời điểm tạo</t>
        </is>
      </c>
      <c r="F48" s="10" t="n"/>
      <c r="G48" s="10" t="inlineStr">
        <is>
          <t>now()</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s="33">
      <c r="A49" s="34" t="inlineStr">
        <is>
          <t>user_sessions  —  Phiên đăng nhập / refresh token</t>
        </is>
      </c>
      <c r="H49" s="15" t="n"/>
      <c r="I49" s="15" t="n"/>
      <c r="J49" s="15" t="n"/>
      <c r="K49" s="15" t="n"/>
      <c r="L49" s="15" t="n"/>
      <c r="M49" s="15" t="n"/>
      <c r="N49" s="15" t="n"/>
      <c r="O49" s="15" t="n"/>
      <c r="P49" s="15" t="n"/>
      <c r="Q49" s="15" t="n"/>
      <c r="R49" s="15" t="n"/>
      <c r="S49" s="15" t="n"/>
      <c r="T49" s="15" t="n"/>
      <c r="U49" s="15" t="n"/>
      <c r="V49" s="15" t="n"/>
      <c r="W49" s="15" t="n"/>
      <c r="X49" s="15" t="n"/>
      <c r="Y49" s="15" t="n"/>
      <c r="Z49" s="15" t="n"/>
    </row>
    <row r="50" ht="15.75" customHeight="1" s="33">
      <c r="A50" s="17" t="inlineStr">
        <is>
          <t>user_sessions</t>
        </is>
      </c>
      <c r="B50" s="17" t="inlineStr">
        <is>
          <t>id</t>
        </is>
      </c>
      <c r="C50" s="10" t="inlineStr">
        <is>
          <t>bigint</t>
        </is>
      </c>
      <c r="D50" s="16" t="inlineStr">
        <is>
          <t>NOT NULL</t>
        </is>
      </c>
      <c r="E50" s="10" t="inlineStr">
        <is>
          <t>Khóa chính phiên; cũng là claim sid trong access token của phiên này</t>
        </is>
      </c>
      <c r="F50" s="10" t="inlineStr">
        <is>
          <t>PK</t>
        </is>
      </c>
      <c r="G50" s="10"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s="33">
      <c r="A51" s="17" t="inlineStr">
        <is>
          <t>user_sessions</t>
        </is>
      </c>
      <c r="B51" s="17" t="inlineStr">
        <is>
          <t>user_id</t>
        </is>
      </c>
      <c r="C51" s="10" t="inlineStr">
        <is>
          <t>integer</t>
        </is>
      </c>
      <c r="D51" s="16" t="inlineStr">
        <is>
          <t>NOT NULL</t>
        </is>
      </c>
      <c r="E51" s="10" t="inlineStr">
        <is>
          <t>Chủ phiên</t>
        </is>
      </c>
      <c r="F51" s="10" t="inlineStr">
        <is>
          <t>FK → users (ON DELETE CASCADE)</t>
        </is>
      </c>
      <c r="G51" s="10"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s="33">
      <c r="A52" s="17" t="inlineStr">
        <is>
          <t>user_sessions</t>
        </is>
      </c>
      <c r="B52" s="17" t="inlineStr">
        <is>
          <t>refresh_token_hash</t>
        </is>
      </c>
      <c r="C52" s="10" t="inlineStr">
        <is>
          <t>text</t>
        </is>
      </c>
      <c r="D52" s="16" t="inlineStr">
        <is>
          <t>NOT NULL</t>
        </is>
      </c>
      <c r="E52" s="10" t="inlineStr">
        <is>
          <t>Hash refresh token</t>
        </is>
      </c>
      <c r="F52" s="10" t="inlineStr">
        <is>
          <t>UK</t>
        </is>
      </c>
      <c r="G52" s="10"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s="33">
      <c r="A53" s="17" t="inlineStr">
        <is>
          <t>user_sessions</t>
        </is>
      </c>
      <c r="B53" s="17" t="inlineStr">
        <is>
          <t>user_agent</t>
        </is>
      </c>
      <c r="C53" s="10" t="inlineStr">
        <is>
          <t>character varying(500)</t>
        </is>
      </c>
      <c r="D53" s="10" t="inlineStr">
        <is>
          <t>NULL</t>
        </is>
      </c>
      <c r="E53" s="10" t="inlineStr">
        <is>
          <t>Thiết bị/trình duyệt</t>
        </is>
      </c>
      <c r="F53" s="10" t="n"/>
      <c r="G53" s="10"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s="33">
      <c r="A54" s="17" t="inlineStr">
        <is>
          <t>user_sessions</t>
        </is>
      </c>
      <c r="B54" s="17" t="inlineStr">
        <is>
          <t>ip_address</t>
        </is>
      </c>
      <c r="C54" s="10" t="inlineStr">
        <is>
          <t>inet</t>
        </is>
      </c>
      <c r="D54" s="10" t="inlineStr">
        <is>
          <t>NULL</t>
        </is>
      </c>
      <c r="E54" s="10" t="inlineStr">
        <is>
          <t>IP đăng nhập</t>
        </is>
      </c>
      <c r="F54" s="10" t="n"/>
      <c r="G54" s="10"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s="33">
      <c r="A55" s="17" t="inlineStr">
        <is>
          <t>user_sessions</t>
        </is>
      </c>
      <c r="B55" s="17" t="inlineStr">
        <is>
          <t>created_at</t>
        </is>
      </c>
      <c r="C55" s="10" t="inlineStr">
        <is>
          <t>timestamp with time zone</t>
        </is>
      </c>
      <c r="D55" s="16" t="inlineStr">
        <is>
          <t>NOT NULL</t>
        </is>
      </c>
      <c r="E55" s="10" t="inlineStr">
        <is>
          <t>Thời điểm tạo</t>
        </is>
      </c>
      <c r="F55" s="10" t="n"/>
      <c r="G55" s="10" t="inlineStr">
        <is>
          <t>now()</t>
        </is>
      </c>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s="33">
      <c r="A56" s="17" t="inlineStr">
        <is>
          <t>user_sessions</t>
        </is>
      </c>
      <c r="B56" s="17" t="inlineStr">
        <is>
          <t>expires_at</t>
        </is>
      </c>
      <c r="C56" s="10" t="inlineStr">
        <is>
          <t>timestamp with time zone</t>
        </is>
      </c>
      <c r="D56" s="16" t="inlineStr">
        <is>
          <t>NOT NULL</t>
        </is>
      </c>
      <c r="E56" s="10" t="inlineStr">
        <is>
          <t>Hết hạn phiên</t>
        </is>
      </c>
      <c r="F56" s="10" t="n"/>
      <c r="G56" s="10"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s="33">
      <c r="A57" s="17" t="inlineStr">
        <is>
          <t>user_sessions</t>
        </is>
      </c>
      <c r="B57" s="17" t="inlineStr">
        <is>
          <t>revoked_at</t>
        </is>
      </c>
      <c r="C57" s="10" t="inlineStr">
        <is>
          <t>timestamp with time zone</t>
        </is>
      </c>
      <c r="D57" s="10" t="inlineStr">
        <is>
          <t>NULL</t>
        </is>
      </c>
      <c r="E57" s="10" t="inlineStr">
        <is>
          <t>Thời điểm thu hồi (đăng xuất, đổi mật khẩu); NULL = còn hiệu lực</t>
        </is>
      </c>
      <c r="F57" s="10" t="n"/>
      <c r="G57" s="10"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s="33">
      <c r="A58" s="34" t="inlineStr">
        <is>
          <t>media_files  —  File upload dùng chung (ảnh, giấy tờ)</t>
        </is>
      </c>
      <c r="H58" s="15" t="n"/>
      <c r="I58" s="15" t="n"/>
      <c r="J58" s="15" t="n"/>
      <c r="K58" s="15" t="n"/>
      <c r="L58" s="15" t="n"/>
      <c r="M58" s="15" t="n"/>
      <c r="N58" s="15" t="n"/>
      <c r="O58" s="15" t="n"/>
      <c r="P58" s="15" t="n"/>
      <c r="Q58" s="15" t="n"/>
      <c r="R58" s="15" t="n"/>
      <c r="S58" s="15" t="n"/>
      <c r="T58" s="15" t="n"/>
      <c r="U58" s="15" t="n"/>
      <c r="V58" s="15" t="n"/>
      <c r="W58" s="15" t="n"/>
      <c r="X58" s="15" t="n"/>
      <c r="Y58" s="15" t="n"/>
      <c r="Z58" s="15" t="n"/>
    </row>
    <row r="59" ht="15.75" customHeight="1" s="33">
      <c r="A59" s="17" t="inlineStr">
        <is>
          <t>media_files</t>
        </is>
      </c>
      <c r="B59" s="17" t="inlineStr">
        <is>
          <t>id</t>
        </is>
      </c>
      <c r="C59" s="10" t="inlineStr">
        <is>
          <t>bigint</t>
        </is>
      </c>
      <c r="D59" s="16" t="inlineStr">
        <is>
          <t>NOT NULL</t>
        </is>
      </c>
      <c r="E59" s="10" t="inlineStr">
        <is>
          <t>Khóa chính file</t>
        </is>
      </c>
      <c r="F59" s="10" t="inlineStr">
        <is>
          <t>PK</t>
        </is>
      </c>
      <c r="G59" s="10"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s="33">
      <c r="A60" s="17" t="inlineStr">
        <is>
          <t>media_files</t>
        </is>
      </c>
      <c r="B60" s="17" t="inlineStr">
        <is>
          <t>uploader_id</t>
        </is>
      </c>
      <c r="C60" s="10" t="inlineStr">
        <is>
          <t>integer</t>
        </is>
      </c>
      <c r="D60" s="10" t="inlineStr">
        <is>
          <t>NULL</t>
        </is>
      </c>
      <c r="E60" s="10" t="inlineStr">
        <is>
          <t>Người upload</t>
        </is>
      </c>
      <c r="F60" s="10" t="inlineStr">
        <is>
          <t>FK → users</t>
        </is>
      </c>
      <c r="G60" s="10"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s="33">
      <c r="A61" s="17" t="inlineStr">
        <is>
          <t>media_files</t>
        </is>
      </c>
      <c r="B61" s="17" t="inlineStr">
        <is>
          <t>storage_key</t>
        </is>
      </c>
      <c r="C61" s="10" t="inlineStr">
        <is>
          <t>text</t>
        </is>
      </c>
      <c r="D61" s="16" t="inlineStr">
        <is>
          <t>NOT NULL</t>
        </is>
      </c>
      <c r="E61" s="10" t="inlineStr">
        <is>
          <t>Key trên S3/Cloudinary/...</t>
        </is>
      </c>
      <c r="F61" s="10" t="inlineStr">
        <is>
          <t>UK</t>
        </is>
      </c>
      <c r="G61" s="10"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s="33">
      <c r="A62" s="17" t="inlineStr">
        <is>
          <t>media_files</t>
        </is>
      </c>
      <c r="B62" s="17" t="inlineStr">
        <is>
          <t>url</t>
        </is>
      </c>
      <c r="C62" s="10" t="inlineStr">
        <is>
          <t>text</t>
        </is>
      </c>
      <c r="D62" s="16" t="inlineStr">
        <is>
          <t>NOT NULL</t>
        </is>
      </c>
      <c r="E62" s="10" t="inlineStr">
        <is>
          <t>URL công khai của file</t>
        </is>
      </c>
      <c r="F62" s="10" t="n"/>
      <c r="G62" s="10"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s="33">
      <c r="A63" s="17" t="inlineStr">
        <is>
          <t>media_files</t>
        </is>
      </c>
      <c r="B63" s="17" t="inlineStr">
        <is>
          <t>mime_type</t>
        </is>
      </c>
      <c r="C63" s="10" t="inlineStr">
        <is>
          <t>character varying(100)</t>
        </is>
      </c>
      <c r="D63" s="16" t="inlineStr">
        <is>
          <t>NOT NULL</t>
        </is>
      </c>
      <c r="E63" s="10" t="inlineStr">
        <is>
          <t>Kiểu file (image/jpeg, application/pdf...)</t>
        </is>
      </c>
      <c r="F63" s="10" t="n"/>
      <c r="G63" s="10"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s="33">
      <c r="A64" s="17" t="inlineStr">
        <is>
          <t>media_files</t>
        </is>
      </c>
      <c r="B64" s="17" t="inlineStr">
        <is>
          <t>size_bytes</t>
        </is>
      </c>
      <c r="C64" s="10" t="inlineStr">
        <is>
          <t>bigint</t>
        </is>
      </c>
      <c r="D64" s="10" t="inlineStr">
        <is>
          <t>NULL</t>
        </is>
      </c>
      <c r="E64" s="10" t="inlineStr">
        <is>
          <t>Dung lượng (byte)</t>
        </is>
      </c>
      <c r="F64" s="10" t="n"/>
      <c r="G64" s="10"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s="33">
      <c r="A65" s="17" t="inlineStr">
        <is>
          <t>media_files</t>
        </is>
      </c>
      <c r="B65" s="17" t="inlineStr">
        <is>
          <t>created_at</t>
        </is>
      </c>
      <c r="C65" s="10" t="inlineStr">
        <is>
          <t>timestamp with time zone</t>
        </is>
      </c>
      <c r="D65" s="16" t="inlineStr">
        <is>
          <t>NOT NULL</t>
        </is>
      </c>
      <c r="E65" s="10" t="inlineStr">
        <is>
          <t>Thời điểm tạo</t>
        </is>
      </c>
      <c r="F65" s="10" t="n"/>
      <c r="G65" s="10" t="inlineStr">
        <is>
          <t>now()</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s="33">
      <c r="A66" s="34" t="inlineStr">
        <is>
          <t>restaurants  —  Nhà hàng (mỗi Owner 1 nhà hàng)</t>
        </is>
      </c>
      <c r="H66" s="15" t="n"/>
      <c r="I66" s="15" t="n"/>
      <c r="J66" s="15" t="n"/>
      <c r="K66" s="15" t="n"/>
      <c r="L66" s="15" t="n"/>
      <c r="M66" s="15" t="n"/>
      <c r="N66" s="15" t="n"/>
      <c r="O66" s="15" t="n"/>
      <c r="P66" s="15" t="n"/>
      <c r="Q66" s="15" t="n"/>
      <c r="R66" s="15" t="n"/>
      <c r="S66" s="15" t="n"/>
      <c r="T66" s="15" t="n"/>
      <c r="U66" s="15" t="n"/>
      <c r="V66" s="15" t="n"/>
      <c r="W66" s="15" t="n"/>
      <c r="X66" s="15" t="n"/>
      <c r="Y66" s="15" t="n"/>
      <c r="Z66" s="15" t="n"/>
    </row>
    <row r="67" ht="15.75" customHeight="1" s="33">
      <c r="A67" s="17" t="inlineStr">
        <is>
          <t>restaurants</t>
        </is>
      </c>
      <c r="B67" s="17" t="inlineStr">
        <is>
          <t>id</t>
        </is>
      </c>
      <c r="C67" s="10" t="inlineStr">
        <is>
          <t>bigint</t>
        </is>
      </c>
      <c r="D67" s="16" t="inlineStr">
        <is>
          <t>NOT NULL</t>
        </is>
      </c>
      <c r="E67" s="10" t="inlineStr">
        <is>
          <t>Khóa chính nhà hàng</t>
        </is>
      </c>
      <c r="F67" s="10" t="inlineStr">
        <is>
          <t>PK</t>
        </is>
      </c>
      <c r="G67" s="10"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33">
      <c r="A68" s="17" t="inlineStr">
        <is>
          <t>restaurants</t>
        </is>
      </c>
      <c r="B68" s="17" t="inlineStr">
        <is>
          <t>owner_id</t>
        </is>
      </c>
      <c r="C68" s="10" t="inlineStr">
        <is>
          <t>integer</t>
        </is>
      </c>
      <c r="D68" s="16" t="inlineStr">
        <is>
          <t>NOT NULL</t>
        </is>
      </c>
      <c r="E68" s="10" t="inlineStr">
        <is>
          <t>Restaurant Owner quản lý (mỗi Owner tối đa 1 nhà hàng chưa xóa)</t>
        </is>
      </c>
      <c r="F68" s="10" t="inlineStr">
        <is>
          <t>UK (deleted_at IS NULL), FK → users</t>
        </is>
      </c>
      <c r="G68" s="10"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33">
      <c r="A69" s="17" t="inlineStr">
        <is>
          <t>restaurants</t>
        </is>
      </c>
      <c r="B69" s="17" t="inlineStr">
        <is>
          <t>name</t>
        </is>
      </c>
      <c r="C69" s="10" t="inlineStr">
        <is>
          <t>character varying(200)</t>
        </is>
      </c>
      <c r="D69" s="16" t="inlineStr">
        <is>
          <t>NOT NULL</t>
        </is>
      </c>
      <c r="E69" s="10" t="inlineStr">
        <is>
          <t>Tên nhà hàng</t>
        </is>
      </c>
      <c r="F69" s="10" t="n"/>
      <c r="G69" s="10"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33">
      <c r="A70" s="17" t="inlineStr">
        <is>
          <t>restaurants</t>
        </is>
      </c>
      <c r="B70" s="17" t="inlineStr">
        <is>
          <t>slug</t>
        </is>
      </c>
      <c r="C70" s="10" t="inlineStr">
        <is>
          <t>character varying(220)</t>
        </is>
      </c>
      <c r="D70" s="16" t="inlineStr">
        <is>
          <t>NOT NULL</t>
        </is>
      </c>
      <c r="E70" s="10" t="inlineStr">
        <is>
          <t>Slug dùng trên URL</t>
        </is>
      </c>
      <c r="F70" s="10" t="inlineStr">
        <is>
          <t>UK (deleted_at IS NULL)</t>
        </is>
      </c>
      <c r="G70" s="10"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33">
      <c r="A71" s="17" t="inlineStr">
        <is>
          <t>restaurants</t>
        </is>
      </c>
      <c r="B71" s="17" t="inlineStr">
        <is>
          <t>description</t>
        </is>
      </c>
      <c r="C71" s="10" t="inlineStr">
        <is>
          <t>text</t>
        </is>
      </c>
      <c r="D71" s="10" t="inlineStr">
        <is>
          <t>NULL</t>
        </is>
      </c>
      <c r="E71" s="10" t="inlineStr">
        <is>
          <t>Mô tả nhà hàng</t>
        </is>
      </c>
      <c r="F71" s="10" t="n"/>
      <c r="G71" s="10"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33">
      <c r="A72" s="17" t="inlineStr">
        <is>
          <t>restaurants</t>
        </is>
      </c>
      <c r="B72" s="17" t="inlineStr">
        <is>
          <t>phone</t>
        </is>
      </c>
      <c r="C72" s="10" t="inlineStr">
        <is>
          <t>character varying(20)</t>
        </is>
      </c>
      <c r="D72" s="10" t="inlineStr">
        <is>
          <t>NULL</t>
        </is>
      </c>
      <c r="E72" s="10" t="inlineStr">
        <is>
          <t>Số điện thoại liên hệ</t>
        </is>
      </c>
      <c r="F72" s="10" t="n"/>
      <c r="G72" s="10"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33">
      <c r="A73" s="17" t="inlineStr">
        <is>
          <t>restaurants</t>
        </is>
      </c>
      <c r="B73" s="17" t="inlineStr">
        <is>
          <t>email</t>
        </is>
      </c>
      <c r="C73" s="10" t="inlineStr">
        <is>
          <t>citext</t>
        </is>
      </c>
      <c r="D73" s="10" t="inlineStr">
        <is>
          <t>NULL</t>
        </is>
      </c>
      <c r="E73" s="10" t="inlineStr">
        <is>
          <t>Email liên hệ</t>
        </is>
      </c>
      <c r="F73" s="10" t="n"/>
      <c r="G73" s="10"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33">
      <c r="A74" s="17" t="inlineStr">
        <is>
          <t>restaurants</t>
        </is>
      </c>
      <c r="B74" s="17" t="inlineStr">
        <is>
          <t>website</t>
        </is>
      </c>
      <c r="C74" s="10" t="inlineStr">
        <is>
          <t>text</t>
        </is>
      </c>
      <c r="D74" s="10" t="inlineStr">
        <is>
          <t>NULL</t>
        </is>
      </c>
      <c r="E74" s="10" t="inlineStr">
        <is>
          <t>Website/fanpage</t>
        </is>
      </c>
      <c r="F74" s="10" t="n"/>
      <c r="G74" s="10"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33">
      <c r="A75" s="24" t="inlineStr">
        <is>
          <t>restaurants</t>
        </is>
      </c>
      <c r="B75" s="24" t="inlineStr">
        <is>
          <t>address_line</t>
        </is>
      </c>
      <c r="C75" s="26" t="inlineStr">
        <is>
          <t>character varying(255)</t>
        </is>
      </c>
      <c r="D75" s="28" t="inlineStr">
        <is>
          <t>NOT NULL</t>
        </is>
      </c>
      <c r="E75" s="26" t="inlineStr">
        <is>
          <t>Số nhà, tên đường</t>
        </is>
      </c>
      <c r="F75" s="26" t="n"/>
      <c r="G75" s="26"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33">
      <c r="A76" s="24" t="inlineStr">
        <is>
          <t>restaurants</t>
        </is>
      </c>
      <c r="B76" s="24" t="inlineStr">
        <is>
          <t>ward</t>
        </is>
      </c>
      <c r="C76" s="26" t="inlineStr">
        <is>
          <t>character varying(100)</t>
        </is>
      </c>
      <c r="D76" s="26" t="inlineStr">
        <is>
          <t>NULL</t>
        </is>
      </c>
      <c r="E76" s="26" t="inlineStr">
        <is>
          <t>Phường/xã, tên theo provinces.open-api.vn V2 (địa giới từ 01/07/2025, không còn quận/huyện)</t>
        </is>
      </c>
      <c r="F76" s="26" t="n"/>
      <c r="G76" s="26"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33">
      <c r="A77" s="24" t="inlineStr">
        <is>
          <t>restaurants</t>
        </is>
      </c>
      <c r="B77" s="24" t="inlineStr">
        <is>
          <t>province_name</t>
        </is>
      </c>
      <c r="C77" s="26" t="inlineStr">
        <is>
          <t>character varying(100)</t>
        </is>
      </c>
      <c r="D77" s="26" t="inlineStr">
        <is>
          <t>NULL</t>
        </is>
      </c>
      <c r="E77" s="26" t="inlineStr">
        <is>
          <t>Tỉnh/thành, tên theo provinces.open-api.vn V2 (địa giới từ 01/07/2025, không còn quận/huyện)</t>
        </is>
      </c>
      <c r="F77" s="26" t="n"/>
      <c r="G77" s="26"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33">
      <c r="A78" s="24" t="inlineStr">
        <is>
          <t>restaurants</t>
        </is>
      </c>
      <c r="B78" s="24" t="inlineStr">
        <is>
          <t>latitude</t>
        </is>
      </c>
      <c r="C78" s="26" t="inlineStr">
        <is>
          <t>numeric(9,6)</t>
        </is>
      </c>
      <c r="D78" s="26" t="inlineStr">
        <is>
          <t>NOT NULL</t>
        </is>
      </c>
      <c r="E78" s="26" t="inlineStr">
        <is>
          <t>Vĩ độ (Owner chấm trên bản đồ khi đăng ký). Dùng lọc quán gần và tính lộ trình</t>
        </is>
      </c>
      <c r="F78" s="26" t="n"/>
      <c r="G78" s="26"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33">
      <c r="A79" s="24" t="inlineStr">
        <is>
          <t>restaurants</t>
        </is>
      </c>
      <c r="B79" s="24" t="inlineStr">
        <is>
          <t>longitude</t>
        </is>
      </c>
      <c r="C79" s="26" t="inlineStr">
        <is>
          <t>numeric(9,6)</t>
        </is>
      </c>
      <c r="D79" s="26" t="inlineStr">
        <is>
          <t>NOT NULL</t>
        </is>
      </c>
      <c r="E79" s="26" t="inlineStr">
        <is>
          <t>Kinh độ (Owner chấm trên bản đồ khi đăng ký). Dùng lọc quán gần và tính lộ trình</t>
        </is>
      </c>
      <c r="F79" s="26" t="n"/>
      <c r="G79" s="26"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33">
      <c r="A80" s="17" t="inlineStr">
        <is>
          <t>restaurants</t>
        </is>
      </c>
      <c r="B80" s="17" t="inlineStr">
        <is>
          <t>price_level</t>
        </is>
      </c>
      <c r="C80" s="10" t="inlineStr">
        <is>
          <t>smallint</t>
        </is>
      </c>
      <c r="D80" s="10" t="inlineStr">
        <is>
          <t>NULL</t>
        </is>
      </c>
      <c r="E80" s="10" t="inlineStr">
        <is>
          <t>Mức giá 1 đến 4 ($ đến $$$$)</t>
        </is>
      </c>
      <c r="F80" s="10" t="n"/>
      <c r="G80" s="10"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33">
      <c r="A81" s="17" t="inlineStr">
        <is>
          <t>restaurants</t>
        </is>
      </c>
      <c r="B81" s="17" t="inlineStr">
        <is>
          <t>cover_media_id</t>
        </is>
      </c>
      <c r="C81" s="10" t="inlineStr">
        <is>
          <t>bigint</t>
        </is>
      </c>
      <c r="D81" s="10" t="inlineStr">
        <is>
          <t>NULL</t>
        </is>
      </c>
      <c r="E81" s="10" t="inlineStr">
        <is>
          <t>Ảnh bìa nhà hàng</t>
        </is>
      </c>
      <c r="F81" s="10" t="inlineStr">
        <is>
          <t>FK → media_files</t>
        </is>
      </c>
      <c r="G81" s="10"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33">
      <c r="A82" s="17" t="inlineStr">
        <is>
          <t>restaurants</t>
        </is>
      </c>
      <c r="B82" s="17" t="inlineStr">
        <is>
          <t>verification_status</t>
        </is>
      </c>
      <c r="C82" s="10" t="inlineStr">
        <is>
          <t>character varying(20)</t>
        </is>
      </c>
      <c r="D82" s="16" t="inlineStr">
        <is>
          <t>NOT NULL</t>
        </is>
      </c>
      <c r="E82" s="10" t="inlineStr">
        <is>
          <t>Trạng thái xác minh: unverified, pending, verified, rejected</t>
        </is>
      </c>
      <c r="F82" s="10" t="n"/>
      <c r="G82" s="10" t="inlineStr">
        <is>
          <t>"unverified"</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33">
      <c r="A83" s="17" t="inlineStr">
        <is>
          <t>restaurants</t>
        </is>
      </c>
      <c r="B83" s="17" t="inlineStr">
        <is>
          <t>operating_status</t>
        </is>
      </c>
      <c r="C83" s="10" t="inlineStr">
        <is>
          <t>character varying(20)</t>
        </is>
      </c>
      <c r="D83" s="16" t="inlineStr">
        <is>
          <t>NOT NULL</t>
        </is>
      </c>
      <c r="E83" s="10" t="inlineStr">
        <is>
          <t>Trạng thái hoạt động do Owner đặt: open, temporarily_closed, permanently_closed</t>
        </is>
      </c>
      <c r="F83" s="10" t="n"/>
      <c r="G83" s="10" t="inlineStr">
        <is>
          <t>"open"</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33">
      <c r="A84" s="17" t="inlineStr">
        <is>
          <t>restaurants</t>
        </is>
      </c>
      <c r="B84" s="17" t="inlineStr">
        <is>
          <t>moderation_status</t>
        </is>
      </c>
      <c r="C84" s="10" t="inlineStr">
        <is>
          <t>character varying(20)</t>
        </is>
      </c>
      <c r="D84" s="16" t="inlineStr">
        <is>
          <t>NOT NULL</t>
        </is>
      </c>
      <c r="E84" s="10" t="inlineStr">
        <is>
          <t>Trạng thái kiểm duyệt do Mod đặt: visible, hidden, suspended</t>
        </is>
      </c>
      <c r="F84" s="10" t="n"/>
      <c r="G84" s="10" t="inlineStr">
        <is>
          <t>"visible"</t>
        </is>
      </c>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33">
      <c r="A85" s="17" t="inlineStr">
        <is>
          <t>restaurants</t>
        </is>
      </c>
      <c r="B85" s="17" t="inlineStr">
        <is>
          <t>rating_avg</t>
        </is>
      </c>
      <c r="C85" s="10" t="inlineStr">
        <is>
          <t>numeric(3,2)</t>
        </is>
      </c>
      <c r="D85" s="16" t="inlineStr">
        <is>
          <t>NOT NULL</t>
        </is>
      </c>
      <c r="E85" s="10" t="inlineStr">
        <is>
          <t>Denormalized từ restaurant_reviews</t>
        </is>
      </c>
      <c r="F85" s="10" t="n"/>
      <c r="G85" s="10" t="inlineStr">
        <is>
          <t>0</t>
        </is>
      </c>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33">
      <c r="A86" s="17" t="inlineStr">
        <is>
          <t>restaurants</t>
        </is>
      </c>
      <c r="B86" s="17" t="inlineStr">
        <is>
          <t>rating_count</t>
        </is>
      </c>
      <c r="C86" s="10" t="inlineStr">
        <is>
          <t>integer</t>
        </is>
      </c>
      <c r="D86" s="16" t="inlineStr">
        <is>
          <t>NOT NULL</t>
        </is>
      </c>
      <c r="E86" s="10" t="inlineStr">
        <is>
          <t>Số review đang hiển thị (denormalized)</t>
        </is>
      </c>
      <c r="F86" s="10" t="n"/>
      <c r="G86" s="10" t="inlineStr">
        <is>
          <t>0</t>
        </is>
      </c>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33">
      <c r="A87" s="17" t="inlineStr">
        <is>
          <t>restaurants</t>
        </is>
      </c>
      <c r="B87" s="17" t="inlineStr">
        <is>
          <t>created_at</t>
        </is>
      </c>
      <c r="C87" s="10" t="inlineStr">
        <is>
          <t>timestamp with time zone</t>
        </is>
      </c>
      <c r="D87" s="16" t="inlineStr">
        <is>
          <t>NOT NULL</t>
        </is>
      </c>
      <c r="E87" s="10" t="inlineStr">
        <is>
          <t>Thời điểm tạo</t>
        </is>
      </c>
      <c r="F87" s="10" t="n"/>
      <c r="G87" s="10" t="inlineStr">
        <is>
          <t>now()</t>
        </is>
      </c>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33">
      <c r="A88" s="17" t="inlineStr">
        <is>
          <t>restaurants</t>
        </is>
      </c>
      <c r="B88" s="17" t="inlineStr">
        <is>
          <t>updated_at</t>
        </is>
      </c>
      <c r="C88" s="10" t="inlineStr">
        <is>
          <t>timestamp with time zone</t>
        </is>
      </c>
      <c r="D88" s="16" t="inlineStr">
        <is>
          <t>NOT NULL</t>
        </is>
      </c>
      <c r="E88" s="10" t="inlineStr">
        <is>
          <t>Thời điểm cập nhật gần nhất</t>
        </is>
      </c>
      <c r="F88" s="10" t="n"/>
      <c r="G88" s="10" t="inlineStr">
        <is>
          <t>now()</t>
        </is>
      </c>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33">
      <c r="A89" s="17" t="inlineStr">
        <is>
          <t>restaurants</t>
        </is>
      </c>
      <c r="B89" s="17" t="inlineStr">
        <is>
          <t>deleted_at</t>
        </is>
      </c>
      <c r="C89" s="10" t="inlineStr">
        <is>
          <t>timestamp with time zone</t>
        </is>
      </c>
      <c r="D89" s="10" t="inlineStr">
        <is>
          <t>NULL</t>
        </is>
      </c>
      <c r="E89" s="10" t="inlineStr">
        <is>
          <t>Thời điểm xóa mềm; NULL = chưa xóa</t>
        </is>
      </c>
      <c r="F89" s="10" t="n"/>
      <c r="G89" s="10"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33">
      <c r="A90" s="34" t="inlineStr">
        <is>
          <t>restaurant_images  —  Ảnh của nhà hàng</t>
        </is>
      </c>
      <c r="H90" s="15" t="n"/>
      <c r="I90" s="15" t="n"/>
      <c r="J90" s="15" t="n"/>
      <c r="K90" s="15" t="n"/>
      <c r="L90" s="15" t="n"/>
      <c r="M90" s="15" t="n"/>
      <c r="N90" s="15" t="n"/>
      <c r="O90" s="15" t="n"/>
      <c r="P90" s="15" t="n"/>
      <c r="Q90" s="15" t="n"/>
      <c r="R90" s="15" t="n"/>
      <c r="S90" s="15" t="n"/>
      <c r="T90" s="15" t="n"/>
      <c r="U90" s="15" t="n"/>
      <c r="V90" s="15" t="n"/>
      <c r="W90" s="15" t="n"/>
      <c r="X90" s="15" t="n"/>
      <c r="Y90" s="15" t="n"/>
      <c r="Z90" s="15" t="n"/>
    </row>
    <row r="91" ht="15.75" customHeight="1" s="33">
      <c r="A91" s="17" t="inlineStr">
        <is>
          <t>restaurant_images</t>
        </is>
      </c>
      <c r="B91" s="17" t="inlineStr">
        <is>
          <t>restaurant_id</t>
        </is>
      </c>
      <c r="C91" s="10" t="inlineStr">
        <is>
          <t>bigint</t>
        </is>
      </c>
      <c r="D91" s="16" t="inlineStr">
        <is>
          <t>NOT NULL</t>
        </is>
      </c>
      <c r="E91" s="10" t="inlineStr">
        <is>
          <t>Nhà hàng</t>
        </is>
      </c>
      <c r="F91" s="10" t="inlineStr">
        <is>
          <t>PK (ghép), FK → restaurants (ON DELETE CASCADE)</t>
        </is>
      </c>
      <c r="G91" s="10"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33">
      <c r="A92" s="17" t="inlineStr">
        <is>
          <t>restaurant_images</t>
        </is>
      </c>
      <c r="B92" s="17" t="inlineStr">
        <is>
          <t>media_id</t>
        </is>
      </c>
      <c r="C92" s="10" t="inlineStr">
        <is>
          <t>bigint</t>
        </is>
      </c>
      <c r="D92" s="16" t="inlineStr">
        <is>
          <t>NOT NULL</t>
        </is>
      </c>
      <c r="E92" s="10" t="inlineStr">
        <is>
          <t>Ảnh</t>
        </is>
      </c>
      <c r="F92" s="10" t="inlineStr">
        <is>
          <t>PK (ghép), FK → media_files</t>
        </is>
      </c>
      <c r="G92" s="10"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33">
      <c r="A93" s="17" t="inlineStr">
        <is>
          <t>restaurant_images</t>
        </is>
      </c>
      <c r="B93" s="17" t="inlineStr">
        <is>
          <t>sort_order</t>
        </is>
      </c>
      <c r="C93" s="10" t="inlineStr">
        <is>
          <t>smallint</t>
        </is>
      </c>
      <c r="D93" s="16" t="inlineStr">
        <is>
          <t>NOT NULL</t>
        </is>
      </c>
      <c r="E93" s="10" t="inlineStr">
        <is>
          <t>Thứ tự hiển thị</t>
        </is>
      </c>
      <c r="F93" s="10" t="n"/>
      <c r="G93" s="10" t="inlineStr">
        <is>
          <t>0</t>
        </is>
      </c>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33">
      <c r="A94" s="34" t="inlineStr">
        <is>
          <t>restaurant_business_hours  —  Giờ mở cửa theo ngày, nhiều ca/ngày</t>
        </is>
      </c>
      <c r="H94" s="15" t="n"/>
      <c r="I94" s="15" t="n"/>
      <c r="J94" s="15" t="n"/>
      <c r="K94" s="15" t="n"/>
      <c r="L94" s="15" t="n"/>
      <c r="M94" s="15" t="n"/>
      <c r="N94" s="15" t="n"/>
      <c r="O94" s="15" t="n"/>
      <c r="P94" s="15" t="n"/>
      <c r="Q94" s="15" t="n"/>
      <c r="R94" s="15" t="n"/>
      <c r="S94" s="15" t="n"/>
      <c r="T94" s="15" t="n"/>
      <c r="U94" s="15" t="n"/>
      <c r="V94" s="15" t="n"/>
      <c r="W94" s="15" t="n"/>
      <c r="X94" s="15" t="n"/>
      <c r="Y94" s="15" t="n"/>
      <c r="Z94" s="15" t="n"/>
    </row>
    <row r="95" ht="15.75" customHeight="1" s="33">
      <c r="A95" s="17" t="inlineStr">
        <is>
          <t>restaurant_business_hours</t>
        </is>
      </c>
      <c r="B95" s="17" t="inlineStr">
        <is>
          <t>id</t>
        </is>
      </c>
      <c r="C95" s="10" t="inlineStr">
        <is>
          <t>bigint</t>
        </is>
      </c>
      <c r="D95" s="16" t="inlineStr">
        <is>
          <t>NOT NULL</t>
        </is>
      </c>
      <c r="E95" s="10" t="inlineStr">
        <is>
          <t>Khóa chính</t>
        </is>
      </c>
      <c r="F95" s="10" t="inlineStr">
        <is>
          <t>PK</t>
        </is>
      </c>
      <c r="G95" s="10"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33">
      <c r="A96" s="17" t="inlineStr">
        <is>
          <t>restaurant_business_hours</t>
        </is>
      </c>
      <c r="B96" s="17" t="inlineStr">
        <is>
          <t>restaurant_id</t>
        </is>
      </c>
      <c r="C96" s="10" t="inlineStr">
        <is>
          <t>bigint</t>
        </is>
      </c>
      <c r="D96" s="16" t="inlineStr">
        <is>
          <t>NOT NULL</t>
        </is>
      </c>
      <c r="E96" s="10" t="inlineStr">
        <is>
          <t>Nhà hàng</t>
        </is>
      </c>
      <c r="F96" s="10" t="inlineStr">
        <is>
          <t>UK (ghép), FK → restaurants (ON DELETE CASCADE)</t>
        </is>
      </c>
      <c r="G96" s="10"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33">
      <c r="A97" s="17" t="inlineStr">
        <is>
          <t>restaurant_business_hours</t>
        </is>
      </c>
      <c r="B97" s="17" t="inlineStr">
        <is>
          <t>day_of_week</t>
        </is>
      </c>
      <c r="C97" s="10" t="inlineStr">
        <is>
          <t>smallint</t>
        </is>
      </c>
      <c r="D97" s="16" t="inlineStr">
        <is>
          <t>NOT NULL</t>
        </is>
      </c>
      <c r="E97" s="10" t="inlineStr">
        <is>
          <t>Thứ trong tuần: 0 = Chủ nhật ... 6 = Thứ bảy</t>
        </is>
      </c>
      <c r="F97" s="10" t="inlineStr">
        <is>
          <t>UK (ghép)</t>
        </is>
      </c>
      <c r="G97" s="10"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33">
      <c r="A98" s="17" t="inlineStr">
        <is>
          <t>restaurant_business_hours</t>
        </is>
      </c>
      <c r="B98" s="17" t="inlineStr">
        <is>
          <t>open_time</t>
        </is>
      </c>
      <c r="C98" s="10" t="inlineStr">
        <is>
          <t>time without time zone</t>
        </is>
      </c>
      <c r="D98" s="16" t="inlineStr">
        <is>
          <t>NOT NULL</t>
        </is>
      </c>
      <c r="E98" s="10" t="inlineStr">
        <is>
          <t>Giờ mở cửa của ca</t>
        </is>
      </c>
      <c r="F98" s="10" t="inlineStr">
        <is>
          <t>UK (ghép)</t>
        </is>
      </c>
      <c r="G98" s="10"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33">
      <c r="A99" s="17" t="inlineStr">
        <is>
          <t>restaurant_business_hours</t>
        </is>
      </c>
      <c r="B99" s="17" t="inlineStr">
        <is>
          <t>close_time</t>
        </is>
      </c>
      <c r="C99" s="10" t="inlineStr">
        <is>
          <t>time without time zone</t>
        </is>
      </c>
      <c r="D99" s="16" t="inlineStr">
        <is>
          <t>NOT NULL</t>
        </is>
      </c>
      <c r="E99" s="10" t="inlineStr">
        <is>
          <t>Close_time &lt; open_time nghĩa là qua đêm</t>
        </is>
      </c>
      <c r="F99" s="10" t="n"/>
      <c r="G99" s="10"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33">
      <c r="A100" s="34" t="inlineStr">
        <is>
          <t>restaurant_verifications  —  Các lần nộp xác minh nhà hàng</t>
        </is>
      </c>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ht="15.75" customHeight="1" s="33">
      <c r="A101" s="17" t="inlineStr">
        <is>
          <t>restaurant_verifications</t>
        </is>
      </c>
      <c r="B101" s="17" t="inlineStr">
        <is>
          <t>id</t>
        </is>
      </c>
      <c r="C101" s="10" t="inlineStr">
        <is>
          <t>bigint</t>
        </is>
      </c>
      <c r="D101" s="16" t="inlineStr">
        <is>
          <t>NOT NULL</t>
        </is>
      </c>
      <c r="E101" s="10" t="inlineStr">
        <is>
          <t>Khóa chính lần nộp xác minh</t>
        </is>
      </c>
      <c r="F101" s="10" t="inlineStr">
        <is>
          <t>PK</t>
        </is>
      </c>
      <c r="G101" s="10"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33">
      <c r="A102" s="17" t="inlineStr">
        <is>
          <t>restaurant_verifications</t>
        </is>
      </c>
      <c r="B102" s="17" t="inlineStr">
        <is>
          <t>restaurant_id</t>
        </is>
      </c>
      <c r="C102" s="10" t="inlineStr">
        <is>
          <t>bigint</t>
        </is>
      </c>
      <c r="D102" s="16" t="inlineStr">
        <is>
          <t>NOT NULL</t>
        </is>
      </c>
      <c r="E102" s="10" t="inlineStr">
        <is>
          <t>Nhà hàng xin xác minh</t>
        </is>
      </c>
      <c r="F102" s="10" t="inlineStr">
        <is>
          <t>FK → restaurants</t>
        </is>
      </c>
      <c r="G102" s="10"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33">
      <c r="A103" s="17" t="inlineStr">
        <is>
          <t>restaurant_verifications</t>
        </is>
      </c>
      <c r="B103" s="17" t="inlineStr">
        <is>
          <t>submitted_by</t>
        </is>
      </c>
      <c r="C103" s="10" t="inlineStr">
        <is>
          <t>integer</t>
        </is>
      </c>
      <c r="D103" s="16" t="inlineStr">
        <is>
          <t>NOT NULL</t>
        </is>
      </c>
      <c r="E103" s="10" t="inlineStr">
        <is>
          <t>Owner nộp</t>
        </is>
      </c>
      <c r="F103" s="10" t="inlineStr">
        <is>
          <t>FK → users</t>
        </is>
      </c>
      <c r="G103" s="10"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33">
      <c r="A104" s="17" t="inlineStr">
        <is>
          <t>restaurant_verifications</t>
        </is>
      </c>
      <c r="B104" s="17" t="inlineStr">
        <is>
          <t>previous_id</t>
        </is>
      </c>
      <c r="C104" s="10" t="inlineStr">
        <is>
          <t>bigint</t>
        </is>
      </c>
      <c r="D104" s="10" t="inlineStr">
        <is>
          <t>NULL</t>
        </is>
      </c>
      <c r="E104" s="10" t="inlineStr">
        <is>
          <t>Lần nộp trước đó (khi Resubmit)</t>
        </is>
      </c>
      <c r="F104" s="10" t="inlineStr">
        <is>
          <t>FK → restaurant_verifications</t>
        </is>
      </c>
      <c r="G104" s="10"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33">
      <c r="A105" s="17" t="inlineStr">
        <is>
          <t>restaurant_verifications</t>
        </is>
      </c>
      <c r="B105" s="17" t="inlineStr">
        <is>
          <t>legal_name</t>
        </is>
      </c>
      <c r="C105" s="10" t="inlineStr">
        <is>
          <t>character varying(255)</t>
        </is>
      </c>
      <c r="D105" s="10" t="inlineStr">
        <is>
          <t>NULL</t>
        </is>
      </c>
      <c r="E105" s="10" t="inlineStr">
        <is>
          <t>Tên pháp lý/hộ kinh doanh</t>
        </is>
      </c>
      <c r="F105" s="10" t="n"/>
      <c r="G105" s="10"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33">
      <c r="A106" s="17" t="inlineStr">
        <is>
          <t>restaurant_verifications</t>
        </is>
      </c>
      <c r="B106" s="17" t="inlineStr">
        <is>
          <t>business_license_no</t>
        </is>
      </c>
      <c r="C106" s="10" t="inlineStr">
        <is>
          <t>character varying(50)</t>
        </is>
      </c>
      <c r="D106" s="10" t="inlineStr">
        <is>
          <t>NULL</t>
        </is>
      </c>
      <c r="E106" s="10" t="inlineStr">
        <is>
          <t>Số giấy phép kinh doanh</t>
        </is>
      </c>
      <c r="F106" s="10" t="n"/>
      <c r="G106" s="10"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33">
      <c r="A107" s="17" t="inlineStr">
        <is>
          <t>restaurant_verifications</t>
        </is>
      </c>
      <c r="B107" s="17" t="inlineStr">
        <is>
          <t>tax_code</t>
        </is>
      </c>
      <c r="C107" s="10" t="inlineStr">
        <is>
          <t>character varying(20)</t>
        </is>
      </c>
      <c r="D107" s="10" t="inlineStr">
        <is>
          <t>NULL</t>
        </is>
      </c>
      <c r="E107" s="10" t="inlineStr">
        <is>
          <t>Mã số thuế</t>
        </is>
      </c>
      <c r="F107" s="10" t="n"/>
      <c r="G107" s="10"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33">
      <c r="A108" s="17" t="inlineStr">
        <is>
          <t>restaurant_verifications</t>
        </is>
      </c>
      <c r="B108" s="17" t="inlineStr">
        <is>
          <t>owner_note</t>
        </is>
      </c>
      <c r="C108" s="10" t="inlineStr">
        <is>
          <t>text</t>
        </is>
      </c>
      <c r="D108" s="10" t="inlineStr">
        <is>
          <t>NULL</t>
        </is>
      </c>
      <c r="E108" s="10" t="inlineStr">
        <is>
          <t>Ghi chú của Owner</t>
        </is>
      </c>
      <c r="F108" s="10" t="n"/>
      <c r="G108" s="10"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33">
      <c r="A109" s="17" t="inlineStr">
        <is>
          <t>restaurant_verifications</t>
        </is>
      </c>
      <c r="B109" s="17" t="inlineStr">
        <is>
          <t>status</t>
        </is>
      </c>
      <c r="C109" s="10" t="inlineStr">
        <is>
          <t>character varying(20)</t>
        </is>
      </c>
      <c r="D109" s="16" t="inlineStr">
        <is>
          <t>NOT NULL</t>
        </is>
      </c>
      <c r="E109" s="10" t="inlineStr">
        <is>
          <t>pending, approved, rejected, needs_more_info, cancelled</t>
        </is>
      </c>
      <c r="F109" s="10" t="n"/>
      <c r="G109" s="10" t="inlineStr">
        <is>
          <t>"pending"</t>
        </is>
      </c>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33">
      <c r="A110" s="17" t="inlineStr">
        <is>
          <t>restaurant_verifications</t>
        </is>
      </c>
      <c r="B110" s="17" t="inlineStr">
        <is>
          <t>reviewed_by</t>
        </is>
      </c>
      <c r="C110" s="10" t="inlineStr">
        <is>
          <t>integer</t>
        </is>
      </c>
      <c r="D110" s="10" t="inlineStr">
        <is>
          <t>NULL</t>
        </is>
      </c>
      <c r="E110" s="10" t="inlineStr">
        <is>
          <t>Mod duyệt</t>
        </is>
      </c>
      <c r="F110" s="10" t="inlineStr">
        <is>
          <t>FK → users</t>
        </is>
      </c>
      <c r="G110" s="10"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33">
      <c r="A111" s="17" t="inlineStr">
        <is>
          <t>restaurant_verifications</t>
        </is>
      </c>
      <c r="B111" s="17" t="inlineStr">
        <is>
          <t>reviewed_at</t>
        </is>
      </c>
      <c r="C111" s="10" t="inlineStr">
        <is>
          <t>timestamp with time zone</t>
        </is>
      </c>
      <c r="D111" s="10" t="inlineStr">
        <is>
          <t>NULL</t>
        </is>
      </c>
      <c r="E111" s="10" t="inlineStr">
        <is>
          <t>Thời điểm duyệt</t>
        </is>
      </c>
      <c r="F111" s="10" t="n"/>
      <c r="G111" s="10"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33">
      <c r="A112" s="17" t="inlineStr">
        <is>
          <t>restaurant_verifications</t>
        </is>
      </c>
      <c r="B112" s="17" t="inlineStr">
        <is>
          <t>review_note</t>
        </is>
      </c>
      <c r="C112" s="10" t="inlineStr">
        <is>
          <t>text</t>
        </is>
      </c>
      <c r="D112" s="10" t="inlineStr">
        <is>
          <t>NULL</t>
        </is>
      </c>
      <c r="E112" s="10" t="inlineStr">
        <is>
          <t>Lý do từ chối / yêu cầu bổ sung</t>
        </is>
      </c>
      <c r="F112" s="10" t="n"/>
      <c r="G112" s="10"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33">
      <c r="A113" s="17" t="inlineStr">
        <is>
          <t>restaurant_verifications</t>
        </is>
      </c>
      <c r="B113" s="17" t="inlineStr">
        <is>
          <t>submitted_at</t>
        </is>
      </c>
      <c r="C113" s="10" t="inlineStr">
        <is>
          <t>timestamp with time zone</t>
        </is>
      </c>
      <c r="D113" s="16" t="inlineStr">
        <is>
          <t>NOT NULL</t>
        </is>
      </c>
      <c r="E113" s="10" t="inlineStr">
        <is>
          <t>Thời điểm nộp</t>
        </is>
      </c>
      <c r="F113" s="10" t="n"/>
      <c r="G113" s="10" t="inlineStr">
        <is>
          <t>now()</t>
        </is>
      </c>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33">
      <c r="A114" s="34" t="inlineStr">
        <is>
          <t>restaurant_verification_documents  —  Giấy tờ đính kèm lần nộp xác minh</t>
        </is>
      </c>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ht="15.75" customHeight="1" s="33">
      <c r="A115" s="17" t="inlineStr">
        <is>
          <t>restaurant_verification_documents</t>
        </is>
      </c>
      <c r="B115" s="17" t="inlineStr">
        <is>
          <t>id</t>
        </is>
      </c>
      <c r="C115" s="10" t="inlineStr">
        <is>
          <t>bigint</t>
        </is>
      </c>
      <c r="D115" s="16" t="inlineStr">
        <is>
          <t>NOT NULL</t>
        </is>
      </c>
      <c r="E115" s="10" t="inlineStr">
        <is>
          <t>Khóa chính</t>
        </is>
      </c>
      <c r="F115" s="10" t="inlineStr">
        <is>
          <t>PK</t>
        </is>
      </c>
      <c r="G115" s="10"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33">
      <c r="A116" s="17" t="inlineStr">
        <is>
          <t>restaurant_verification_documents</t>
        </is>
      </c>
      <c r="B116" s="17" t="inlineStr">
        <is>
          <t>verification_id</t>
        </is>
      </c>
      <c r="C116" s="10" t="inlineStr">
        <is>
          <t>bigint</t>
        </is>
      </c>
      <c r="D116" s="16" t="inlineStr">
        <is>
          <t>NOT NULL</t>
        </is>
      </c>
      <c r="E116" s="10" t="inlineStr">
        <is>
          <t>Lần nộp xác minh</t>
        </is>
      </c>
      <c r="F116" s="10" t="inlineStr">
        <is>
          <t>FK → restaurant_verifications (ON DELETE CASCADE)</t>
        </is>
      </c>
      <c r="G116" s="10"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33">
      <c r="A117" s="17" t="inlineStr">
        <is>
          <t>restaurant_verification_documents</t>
        </is>
      </c>
      <c r="B117" s="17" t="inlineStr">
        <is>
          <t>doc_type</t>
        </is>
      </c>
      <c r="C117" s="10" t="inlineStr">
        <is>
          <t>character varying(30)</t>
        </is>
      </c>
      <c r="D117" s="16" t="inlineStr">
        <is>
          <t>NOT NULL</t>
        </is>
      </c>
      <c r="E117" s="10" t="inlineStr">
        <is>
          <t>Loại giấy tờ: business_license, food_safety_cert, id_card, storefront_photo, other</t>
        </is>
      </c>
      <c r="F117" s="10" t="n"/>
      <c r="G117" s="10"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33">
      <c r="A118" s="17" t="inlineStr">
        <is>
          <t>restaurant_verification_documents</t>
        </is>
      </c>
      <c r="B118" s="17" t="inlineStr">
        <is>
          <t>media_id</t>
        </is>
      </c>
      <c r="C118" s="10" t="inlineStr">
        <is>
          <t>bigint</t>
        </is>
      </c>
      <c r="D118" s="16" t="inlineStr">
        <is>
          <t>NOT NULL</t>
        </is>
      </c>
      <c r="E118" s="10" t="inlineStr">
        <is>
          <t>File giấy tờ</t>
        </is>
      </c>
      <c r="F118" s="10" t="inlineStr">
        <is>
          <t>FK → media_files</t>
        </is>
      </c>
      <c r="G118" s="10"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33">
      <c r="A119" s="34" t="inlineStr">
        <is>
          <t>tags  —  Tag phân loại để lọc ứng viên (bữa, dietary, nhóm món)</t>
        </is>
      </c>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ht="15.75" customHeight="1" s="33">
      <c r="A120" s="17" t="inlineStr">
        <is>
          <t>tags</t>
        </is>
      </c>
      <c r="B120" s="17" t="inlineStr">
        <is>
          <t>id</t>
        </is>
      </c>
      <c r="C120" s="10" t="inlineStr">
        <is>
          <t>smallint</t>
        </is>
      </c>
      <c r="D120" s="16" t="inlineStr">
        <is>
          <t>NOT NULL</t>
        </is>
      </c>
      <c r="E120" s="10" t="inlineStr">
        <is>
          <t>Khóa chính tag</t>
        </is>
      </c>
      <c r="F120" s="10" t="inlineStr">
        <is>
          <t>PK</t>
        </is>
      </c>
      <c r="G120" s="10"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33">
      <c r="A121" s="17" t="inlineStr">
        <is>
          <t>tags</t>
        </is>
      </c>
      <c r="B121" s="17" t="inlineStr">
        <is>
          <t>tag_type</t>
        </is>
      </c>
      <c r="C121" s="10" t="inlineStr">
        <is>
          <t>character varying(20)</t>
        </is>
      </c>
      <c r="D121" s="16" t="inlineStr">
        <is>
          <t>NOT NULL</t>
        </is>
      </c>
      <c r="E121" s="10" t="inlineStr">
        <is>
          <t>Nhóm tag: meal_time, dietary, category</t>
        </is>
      </c>
      <c r="F121" s="10" t="inlineStr">
        <is>
          <t>UK (ghép)</t>
        </is>
      </c>
      <c r="G121" s="10"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33">
      <c r="A122" s="17" t="inlineStr">
        <is>
          <t>tags</t>
        </is>
      </c>
      <c r="B122" s="17" t="inlineStr">
        <is>
          <t>code</t>
        </is>
      </c>
      <c r="C122" s="10" t="inlineStr">
        <is>
          <t>character varying(50)</t>
        </is>
      </c>
      <c r="D122" s="16" t="inlineStr">
        <is>
          <t>NOT NULL</t>
        </is>
      </c>
      <c r="E122" s="10" t="inlineStr">
        <is>
          <t>Mã tag (duy nhất trong nhóm)</t>
        </is>
      </c>
      <c r="F122" s="10" t="inlineStr">
        <is>
          <t>UK (ghép)</t>
        </is>
      </c>
      <c r="G122" s="10"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33">
      <c r="A123" s="17" t="inlineStr">
        <is>
          <t>tags</t>
        </is>
      </c>
      <c r="B123" s="17" t="inlineStr">
        <is>
          <t>name</t>
        </is>
      </c>
      <c r="C123" s="10" t="inlineStr">
        <is>
          <t>character varying(100)</t>
        </is>
      </c>
      <c r="D123" s="16" t="inlineStr">
        <is>
          <t>NOT NULL</t>
        </is>
      </c>
      <c r="E123" s="10" t="inlineStr">
        <is>
          <t>Tên hiển thị</t>
        </is>
      </c>
      <c r="F123" s="10" t="n"/>
      <c r="G123" s="10"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33">
      <c r="A124" s="34" t="inlineStr">
        <is>
          <t>dishes  —  Menu đang hoạt động: món đã duyệt, mỗi món thuộc 1 quán</t>
        </is>
      </c>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ht="15.75" customHeight="1" s="33">
      <c r="A125" s="17" t="inlineStr">
        <is>
          <t>dishes</t>
        </is>
      </c>
      <c r="B125" s="17" t="inlineStr">
        <is>
          <t>id</t>
        </is>
      </c>
      <c r="C125" s="10" t="inlineStr">
        <is>
          <t>integer</t>
        </is>
      </c>
      <c r="D125" s="16" t="inlineStr">
        <is>
          <t>NOT NULL</t>
        </is>
      </c>
      <c r="E125" s="10" t="inlineStr">
        <is>
          <t>Khóa chính món; cũng là dish_id bên recommendation</t>
        </is>
      </c>
      <c r="F125" s="10" t="inlineStr">
        <is>
          <t>PK</t>
        </is>
      </c>
      <c r="G125" s="10" t="n"/>
      <c r="H125" s="30" t="n"/>
      <c r="I125" s="15" t="n"/>
      <c r="J125" s="7" t="n"/>
      <c r="K125" s="7" t="n"/>
      <c r="L125" s="7" t="n"/>
      <c r="M125" s="7" t="n"/>
      <c r="N125" s="7" t="n"/>
      <c r="O125" s="7" t="n"/>
      <c r="P125" s="7" t="n"/>
      <c r="Q125" s="7" t="n"/>
      <c r="R125" s="7" t="n"/>
      <c r="S125" s="7" t="n"/>
      <c r="T125" s="7" t="n"/>
      <c r="U125" s="7" t="n"/>
      <c r="V125" s="7" t="n"/>
      <c r="W125" s="7" t="n"/>
      <c r="X125" s="7" t="n"/>
      <c r="Y125" s="7" t="n"/>
      <c r="Z125" s="7" t="n"/>
    </row>
    <row r="126" ht="15.75" customHeight="1" s="33">
      <c r="A126" s="17" t="inlineStr">
        <is>
          <t>dishes</t>
        </is>
      </c>
      <c r="B126" s="17" t="inlineStr">
        <is>
          <t>restaurant_id</t>
        </is>
      </c>
      <c r="C126" s="10" t="inlineStr">
        <is>
          <t>bigint</t>
        </is>
      </c>
      <c r="D126" s="16" t="inlineStr">
        <is>
          <t>NOT NULL</t>
        </is>
      </c>
      <c r="E126" s="10" t="inlineStr">
        <is>
          <t>Nhà hàng sở hữu món (1 quán = 1 menu)</t>
        </is>
      </c>
      <c r="F126" s="10" t="inlineStr">
        <is>
          <t>FK → restaurants</t>
        </is>
      </c>
      <c r="G126" s="10"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33">
      <c r="A127" s="17" t="inlineStr">
        <is>
          <t>dishes</t>
        </is>
      </c>
      <c r="B127" s="17" t="inlineStr">
        <is>
          <t>name</t>
        </is>
      </c>
      <c r="C127" s="10" t="inlineStr">
        <is>
          <t>character varying(200)</t>
        </is>
      </c>
      <c r="D127" s="16" t="inlineStr">
        <is>
          <t>NOT NULL</t>
        </is>
      </c>
      <c r="E127" s="10" t="inlineStr">
        <is>
          <t>Tên món</t>
        </is>
      </c>
      <c r="F127" s="10" t="n"/>
      <c r="G127" s="10"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33">
      <c r="A128" s="17" t="inlineStr">
        <is>
          <t>dishes</t>
        </is>
      </c>
      <c r="B128" s="17" t="inlineStr">
        <is>
          <t>description</t>
        </is>
      </c>
      <c r="C128" s="10" t="inlineStr">
        <is>
          <t>text</t>
        </is>
      </c>
      <c r="D128" s="10" t="inlineStr">
        <is>
          <t>NULL</t>
        </is>
      </c>
      <c r="E128" s="10" t="inlineStr">
        <is>
          <t>Reco dùng name + description để sinh vector</t>
        </is>
      </c>
      <c r="F128" s="10" t="n"/>
      <c r="G128" s="10"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33">
      <c r="A129" s="17" t="inlineStr">
        <is>
          <t>dishes</t>
        </is>
      </c>
      <c r="B129" s="17" t="inlineStr">
        <is>
          <t>dish_form</t>
        </is>
      </c>
      <c r="C129" s="10" t="inlineStr">
        <is>
          <t>character varying(10)</t>
        </is>
      </c>
      <c r="D129" s="16" t="inlineStr">
        <is>
          <t>NOT NULL</t>
        </is>
      </c>
      <c r="E129" s="10" t="inlineStr">
        <is>
          <t>Món nước / khô / khác: soup, dry, other (dùng để lọc)</t>
        </is>
      </c>
      <c r="F129" s="10" t="n"/>
      <c r="G129" s="10" t="inlineStr">
        <is>
          <t>"other"</t>
        </is>
      </c>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33">
      <c r="A130" s="17" t="inlineStr">
        <is>
          <t>dishes</t>
        </is>
      </c>
      <c r="B130" s="17" t="inlineStr">
        <is>
          <t>like_count</t>
        </is>
      </c>
      <c r="C130" s="10" t="inlineStr">
        <is>
          <t>integer</t>
        </is>
      </c>
      <c r="D130" s="16" t="inlineStr">
        <is>
          <t>NOT NULL</t>
        </is>
      </c>
      <c r="E130" s="10" t="inlineStr">
        <is>
          <t>Tổng số lượt Like (mỗi roadmap item 1 lượt, 1 người có thể like cùng món nhiều lần). Chỉ để hiển thị; Wilson dùng recommendation.dish_stats (1 phiếu/người)</t>
        </is>
      </c>
      <c r="F130" s="10" t="n"/>
      <c r="G130" s="31" t="n">
        <v>0</v>
      </c>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33">
      <c r="A131" s="17" t="inlineStr">
        <is>
          <t>dishes</t>
        </is>
      </c>
      <c r="B131" s="17" t="inlineStr">
        <is>
          <t>dislike_count</t>
        </is>
      </c>
      <c r="C131" s="10" t="inlineStr">
        <is>
          <t>integer</t>
        </is>
      </c>
      <c r="D131" s="16" t="inlineStr">
        <is>
          <t>NOT NULL</t>
        </is>
      </c>
      <c r="E131" s="10" t="inlineStr">
        <is>
          <t>Tổng số lượt Dislike, đếm như like_count. Chỉ để hiển thị</t>
        </is>
      </c>
      <c r="F131" s="10" t="n"/>
      <c r="G131" s="31" t="n">
        <v>0</v>
      </c>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33">
      <c r="A132" s="17" t="inlineStr">
        <is>
          <t>dishes</t>
        </is>
      </c>
      <c r="B132" s="17" t="inlineStr">
        <is>
          <t>price</t>
        </is>
      </c>
      <c r="C132" s="10" t="inlineStr">
        <is>
          <t>numeric(12,0)</t>
        </is>
      </c>
      <c r="D132" s="16" t="inlineStr">
        <is>
          <t>NOT NULL</t>
        </is>
      </c>
      <c r="E132" s="10" t="inlineStr">
        <is>
          <t>Giá bán (VND)</t>
        </is>
      </c>
      <c r="F132" s="10" t="n"/>
      <c r="G132" s="10"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33">
      <c r="A133" s="17" t="inlineStr">
        <is>
          <t>dishes</t>
        </is>
      </c>
      <c r="B133" s="17" t="inlineStr">
        <is>
          <t>cover_media_id</t>
        </is>
      </c>
      <c r="C133" s="10" t="inlineStr">
        <is>
          <t>bigint</t>
        </is>
      </c>
      <c r="D133" s="10" t="inlineStr">
        <is>
          <t>NULL</t>
        </is>
      </c>
      <c r="E133" s="10" t="inlineStr">
        <is>
          <t>Ảnh đại diện món</t>
        </is>
      </c>
      <c r="F133" s="10" t="inlineStr">
        <is>
          <t>FK → media_files</t>
        </is>
      </c>
      <c r="G133" s="10"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33">
      <c r="A134" s="17" t="inlineStr">
        <is>
          <t>dishes</t>
        </is>
      </c>
      <c r="B134" s="17" t="inlineStr">
        <is>
          <t>is_available</t>
        </is>
      </c>
      <c r="C134" s="10" t="inlineStr">
        <is>
          <t>boolean</t>
        </is>
      </c>
      <c r="D134" s="16" t="inlineStr">
        <is>
          <t>NOT NULL</t>
        </is>
      </c>
      <c r="E134" s="10" t="inlineStr">
        <is>
          <t>Owner bật/tắt "hết món" (không cần duyệt)</t>
        </is>
      </c>
      <c r="F134" s="10" t="n"/>
      <c r="G134" s="10" t="inlineStr">
        <is>
          <t>true</t>
        </is>
      </c>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33">
      <c r="A135" s="17" t="inlineStr">
        <is>
          <t>dishes</t>
        </is>
      </c>
      <c r="B135" s="17" t="inlineStr">
        <is>
          <t>status</t>
        </is>
      </c>
      <c r="C135" s="10" t="inlineStr">
        <is>
          <t>character varying(10)</t>
        </is>
      </c>
      <c r="D135" s="16" t="inlineStr">
        <is>
          <t>NOT NULL</t>
        </is>
      </c>
      <c r="E135" s="10" t="inlineStr">
        <is>
          <t>active = đang bán; hidden = Mod ẩn; removed = bị gỡ khi duyệt menu mới</t>
        </is>
      </c>
      <c r="F135" s="10" t="n"/>
      <c r="G135" s="10" t="inlineStr">
        <is>
          <t>"active"</t>
        </is>
      </c>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33">
      <c r="A136" s="17" t="inlineStr">
        <is>
          <t>dishes</t>
        </is>
      </c>
      <c r="B136" s="17" t="inlineStr">
        <is>
          <t>sort_order</t>
        </is>
      </c>
      <c r="C136" s="10" t="inlineStr">
        <is>
          <t>smallint</t>
        </is>
      </c>
      <c r="D136" s="16" t="inlineStr">
        <is>
          <t>NOT NULL</t>
        </is>
      </c>
      <c r="E136" s="10" t="inlineStr">
        <is>
          <t>Thứ tự trong menu</t>
        </is>
      </c>
      <c r="F136" s="10" t="n"/>
      <c r="G136" s="10" t="inlineStr">
        <is>
          <t>0</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33">
      <c r="A137" s="17" t="inlineStr">
        <is>
          <t>dishes</t>
        </is>
      </c>
      <c r="B137" s="17" t="inlineStr">
        <is>
          <t>created_at</t>
        </is>
      </c>
      <c r="C137" s="10" t="inlineStr">
        <is>
          <t>timestamp with time zone</t>
        </is>
      </c>
      <c r="D137" s="16" t="inlineStr">
        <is>
          <t>NOT NULL</t>
        </is>
      </c>
      <c r="E137" s="10" t="inlineStr">
        <is>
          <t>Thời điểm tạo</t>
        </is>
      </c>
      <c r="F137" s="10" t="n"/>
      <c r="G137" s="10" t="inlineStr">
        <is>
          <t>now()</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33">
      <c r="A138" s="17" t="inlineStr">
        <is>
          <t>dishes</t>
        </is>
      </c>
      <c r="B138" s="17" t="inlineStr">
        <is>
          <t>updated_at</t>
        </is>
      </c>
      <c r="C138" s="10" t="inlineStr">
        <is>
          <t>timestamp with time zone</t>
        </is>
      </c>
      <c r="D138" s="16" t="inlineStr">
        <is>
          <t>NOT NULL</t>
        </is>
      </c>
      <c r="E138" s="10" t="inlineStr">
        <is>
          <t>Thời điểm cập nhật gần nhất</t>
        </is>
      </c>
      <c r="F138" s="10" t="n"/>
      <c r="G138" s="10" t="inlineStr">
        <is>
          <t>now()</t>
        </is>
      </c>
      <c r="H138" s="30"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33">
      <c r="A139" s="34" t="inlineStr">
        <is>
          <t>dish_tags  —  Tag của món</t>
        </is>
      </c>
      <c r="H139" s="15" t="n"/>
      <c r="I139" s="7" t="n"/>
      <c r="J139" s="15" t="n"/>
      <c r="K139" s="15" t="n"/>
      <c r="L139" s="15" t="n"/>
      <c r="M139" s="15" t="n"/>
      <c r="N139" s="15" t="n"/>
      <c r="O139" s="15" t="n"/>
      <c r="P139" s="15" t="n"/>
      <c r="Q139" s="15" t="n"/>
      <c r="R139" s="15" t="n"/>
      <c r="S139" s="15" t="n"/>
      <c r="T139" s="15" t="n"/>
      <c r="U139" s="15" t="n"/>
      <c r="V139" s="15" t="n"/>
      <c r="W139" s="15" t="n"/>
      <c r="X139" s="15" t="n"/>
      <c r="Y139" s="15" t="n"/>
      <c r="Z139" s="15" t="n"/>
    </row>
    <row r="140" ht="15.75" customHeight="1" s="33">
      <c r="A140" s="17" t="inlineStr">
        <is>
          <t>dish_tags</t>
        </is>
      </c>
      <c r="B140" s="17" t="inlineStr">
        <is>
          <t>dish_id</t>
        </is>
      </c>
      <c r="C140" s="10" t="inlineStr">
        <is>
          <t>integer</t>
        </is>
      </c>
      <c r="D140" s="16" t="inlineStr">
        <is>
          <t>NOT NULL</t>
        </is>
      </c>
      <c r="E140" s="10" t="inlineStr">
        <is>
          <t>Món</t>
        </is>
      </c>
      <c r="F140" s="10" t="inlineStr">
        <is>
          <t>PK (ghép), FK → dishes (ON DELETE CASCADE)</t>
        </is>
      </c>
      <c r="G140" s="10"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33">
      <c r="A141" s="17" t="inlineStr">
        <is>
          <t>dish_tags</t>
        </is>
      </c>
      <c r="B141" s="17" t="inlineStr">
        <is>
          <t>tag_id</t>
        </is>
      </c>
      <c r="C141" s="10" t="inlineStr">
        <is>
          <t>smallint</t>
        </is>
      </c>
      <c r="D141" s="16" t="inlineStr">
        <is>
          <t>NOT NULL</t>
        </is>
      </c>
      <c r="E141" s="10" t="inlineStr">
        <is>
          <t>Tag gắn cho món</t>
        </is>
      </c>
      <c r="F141" s="10" t="inlineStr">
        <is>
          <t>PK (ghép), FK → tags (ON DELETE CASCADE)</t>
        </is>
      </c>
      <c r="G141" s="10"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33">
      <c r="A142" s="34" t="inlineStr">
        <is>
          <t>dish_images  —  Ảnh của món</t>
        </is>
      </c>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ht="15.75" customHeight="1" s="33">
      <c r="A143" s="17" t="inlineStr">
        <is>
          <t>dish_images</t>
        </is>
      </c>
      <c r="B143" s="17" t="inlineStr">
        <is>
          <t>dish_id</t>
        </is>
      </c>
      <c r="C143" s="10" t="inlineStr">
        <is>
          <t>integer</t>
        </is>
      </c>
      <c r="D143" s="16" t="inlineStr">
        <is>
          <t>NOT NULL</t>
        </is>
      </c>
      <c r="E143" s="10" t="inlineStr">
        <is>
          <t>Món</t>
        </is>
      </c>
      <c r="F143" s="10" t="inlineStr">
        <is>
          <t>PK (ghép), FK → dishes (ON DELETE CASCADE)</t>
        </is>
      </c>
      <c r="G143" s="10"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33">
      <c r="A144" s="17" t="inlineStr">
        <is>
          <t>dish_images</t>
        </is>
      </c>
      <c r="B144" s="17" t="inlineStr">
        <is>
          <t>media_id</t>
        </is>
      </c>
      <c r="C144" s="10" t="inlineStr">
        <is>
          <t>bigint</t>
        </is>
      </c>
      <c r="D144" s="16" t="inlineStr">
        <is>
          <t>NOT NULL</t>
        </is>
      </c>
      <c r="E144" s="10" t="inlineStr">
        <is>
          <t>Ảnh</t>
        </is>
      </c>
      <c r="F144" s="10" t="inlineStr">
        <is>
          <t>PK (ghép), FK → media_files</t>
        </is>
      </c>
      <c r="G144" s="10"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33">
      <c r="A145" s="17" t="inlineStr">
        <is>
          <t>dish_images</t>
        </is>
      </c>
      <c r="B145" s="17" t="inlineStr">
        <is>
          <t>sort_order</t>
        </is>
      </c>
      <c r="C145" s="10" t="inlineStr">
        <is>
          <t>smallint</t>
        </is>
      </c>
      <c r="D145" s="16" t="inlineStr">
        <is>
          <t>NOT NULL</t>
        </is>
      </c>
      <c r="E145" s="10" t="inlineStr">
        <is>
          <t>Thứ tự hiển thị</t>
        </is>
      </c>
      <c r="F145" s="10" t="n"/>
      <c r="G145" s="10" t="inlineStr">
        <is>
          <t>0</t>
        </is>
      </c>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33">
      <c r="A146" s="34" t="inlineStr">
        <is>
          <t>menu_submissions  —  Bản menu mới Owner soạn và nộp duyệt</t>
        </is>
      </c>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ht="15.75" customHeight="1" s="33">
      <c r="A147" s="17" t="inlineStr">
        <is>
          <t>menu_submissions</t>
        </is>
      </c>
      <c r="B147" s="17" t="inlineStr">
        <is>
          <t>id</t>
        </is>
      </c>
      <c r="C147" s="10" t="inlineStr">
        <is>
          <t>bigint</t>
        </is>
      </c>
      <c r="D147" s="16" t="inlineStr">
        <is>
          <t>NOT NULL</t>
        </is>
      </c>
      <c r="E147" s="10" t="inlineStr">
        <is>
          <t>Khóa chính bản menu</t>
        </is>
      </c>
      <c r="F147" s="10" t="inlineStr">
        <is>
          <t>PK</t>
        </is>
      </c>
      <c r="G147" s="10"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33">
      <c r="A148" s="17" t="inlineStr">
        <is>
          <t>menu_submissions</t>
        </is>
      </c>
      <c r="B148" s="17" t="inlineStr">
        <is>
          <t>restaurant_id</t>
        </is>
      </c>
      <c r="C148" s="10" t="inlineStr">
        <is>
          <t>bigint</t>
        </is>
      </c>
      <c r="D148" s="16" t="inlineStr">
        <is>
          <t>NOT NULL</t>
        </is>
      </c>
      <c r="E148" s="10" t="inlineStr">
        <is>
          <t>Nhà hàng</t>
        </is>
      </c>
      <c r="F148" s="10" t="inlineStr">
        <is>
          <t>UK (status IN draft, pending), FK → restaurants</t>
        </is>
      </c>
      <c r="G148" s="10"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33">
      <c r="A149" s="17" t="inlineStr">
        <is>
          <t>menu_submissions</t>
        </is>
      </c>
      <c r="B149" s="17" t="inlineStr">
        <is>
          <t>created_by</t>
        </is>
      </c>
      <c r="C149" s="10" t="inlineStr">
        <is>
          <t>integer</t>
        </is>
      </c>
      <c r="D149" s="16" t="inlineStr">
        <is>
          <t>NOT NULL</t>
        </is>
      </c>
      <c r="E149" s="10" t="inlineStr">
        <is>
          <t>Owner tạo bản nháp</t>
        </is>
      </c>
      <c r="F149" s="10" t="inlineStr">
        <is>
          <t>FK → users</t>
        </is>
      </c>
      <c r="G149" s="10"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33">
      <c r="A150" s="17" t="inlineStr">
        <is>
          <t>menu_submissions</t>
        </is>
      </c>
      <c r="B150" s="17" t="inlineStr">
        <is>
          <t>status</t>
        </is>
      </c>
      <c r="C150" s="10" t="inlineStr">
        <is>
          <t>character varying(20)</t>
        </is>
      </c>
      <c r="D150" s="16" t="inlineStr">
        <is>
          <t>NOT NULL</t>
        </is>
      </c>
      <c r="E150" s="10" t="inlineStr">
        <is>
          <t>draft, pending, approved, rejected, cancelled (mỗi quán tối đa 1 bản draft/pending)</t>
        </is>
      </c>
      <c r="F150" s="10" t="n"/>
      <c r="G150" s="10" t="inlineStr">
        <is>
          <t>"draft"</t>
        </is>
      </c>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33">
      <c r="A151" s="17" t="inlineStr">
        <is>
          <t>menu_submissions</t>
        </is>
      </c>
      <c r="B151" s="17" t="inlineStr">
        <is>
          <t>owner_note</t>
        </is>
      </c>
      <c r="C151" s="10" t="inlineStr">
        <is>
          <t>text</t>
        </is>
      </c>
      <c r="D151" s="10" t="inlineStr">
        <is>
          <t>NULL</t>
        </is>
      </c>
      <c r="E151" s="10" t="inlineStr">
        <is>
          <t>Ghi chú của Owner gửi Mod</t>
        </is>
      </c>
      <c r="F151" s="10" t="n"/>
      <c r="G151" s="10"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33">
      <c r="A152" s="17" t="inlineStr">
        <is>
          <t>menu_submissions</t>
        </is>
      </c>
      <c r="B152" s="17" t="inlineStr">
        <is>
          <t>submitted_at</t>
        </is>
      </c>
      <c r="C152" s="10" t="inlineStr">
        <is>
          <t>timestamp with time zone</t>
        </is>
      </c>
      <c r="D152" s="10" t="inlineStr">
        <is>
          <t>NULL</t>
        </is>
      </c>
      <c r="E152" s="10" t="inlineStr">
        <is>
          <t>Thời điểm nộp duyệt</t>
        </is>
      </c>
      <c r="F152" s="10" t="n"/>
      <c r="G152" s="10"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33">
      <c r="A153" s="17" t="inlineStr">
        <is>
          <t>menu_submissions</t>
        </is>
      </c>
      <c r="B153" s="17" t="inlineStr">
        <is>
          <t>reviewed_by</t>
        </is>
      </c>
      <c r="C153" s="10" t="inlineStr">
        <is>
          <t>integer</t>
        </is>
      </c>
      <c r="D153" s="10" t="inlineStr">
        <is>
          <t>NULL</t>
        </is>
      </c>
      <c r="E153" s="10" t="inlineStr">
        <is>
          <t>Mod duyệt</t>
        </is>
      </c>
      <c r="F153" s="10" t="inlineStr">
        <is>
          <t>FK → users</t>
        </is>
      </c>
      <c r="G153" s="10"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33">
      <c r="A154" s="17" t="inlineStr">
        <is>
          <t>menu_submissions</t>
        </is>
      </c>
      <c r="B154" s="17" t="inlineStr">
        <is>
          <t>reviewed_at</t>
        </is>
      </c>
      <c r="C154" s="10" t="inlineStr">
        <is>
          <t>timestamp with time zone</t>
        </is>
      </c>
      <c r="D154" s="10" t="inlineStr">
        <is>
          <t>NULL</t>
        </is>
      </c>
      <c r="E154" s="10" t="inlineStr">
        <is>
          <t>Thời điểm duyệt</t>
        </is>
      </c>
      <c r="F154" s="10" t="n"/>
      <c r="G154" s="10"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33">
      <c r="A155" s="17" t="inlineStr">
        <is>
          <t>menu_submissions</t>
        </is>
      </c>
      <c r="B155" s="17" t="inlineStr">
        <is>
          <t>review_note</t>
        </is>
      </c>
      <c r="C155" s="10" t="inlineStr">
        <is>
          <t>text</t>
        </is>
      </c>
      <c r="D155" s="10" t="inlineStr">
        <is>
          <t>NULL</t>
        </is>
      </c>
      <c r="E155" s="10" t="inlineStr">
        <is>
          <t>Ghi chú/lý do từ chối của Mod</t>
        </is>
      </c>
      <c r="F155" s="10" t="n"/>
      <c r="G155" s="10" t="n"/>
      <c r="J155" s="7" t="n"/>
      <c r="K155" s="7" t="n"/>
      <c r="L155" s="7" t="n"/>
      <c r="M155" s="7" t="n"/>
      <c r="N155" s="7" t="n"/>
      <c r="O155" s="7" t="n"/>
      <c r="P155" s="7" t="n"/>
      <c r="Q155" s="7" t="n"/>
      <c r="R155" s="7" t="n"/>
      <c r="S155" s="7" t="n"/>
      <c r="T155" s="7" t="n"/>
      <c r="U155" s="7" t="n"/>
      <c r="V155" s="7" t="n"/>
      <c r="W155" s="7" t="n"/>
      <c r="X155" s="7" t="n"/>
      <c r="Y155" s="7" t="n"/>
      <c r="Z155" s="7" t="n"/>
    </row>
    <row r="156" ht="15.75" customHeight="1" s="33">
      <c r="A156" s="17" t="inlineStr">
        <is>
          <t>menu_submissions</t>
        </is>
      </c>
      <c r="B156" s="17" t="inlineStr">
        <is>
          <t>created_at</t>
        </is>
      </c>
      <c r="C156" s="10" t="inlineStr">
        <is>
          <t>timestamp with time zone</t>
        </is>
      </c>
      <c r="D156" s="16" t="inlineStr">
        <is>
          <t>NOT NULL</t>
        </is>
      </c>
      <c r="E156" s="10" t="inlineStr">
        <is>
          <t>Thời điểm tạo</t>
        </is>
      </c>
      <c r="F156" s="10" t="n"/>
      <c r="G156" s="10" t="inlineStr">
        <is>
          <t>now()</t>
        </is>
      </c>
      <c r="J156" s="7" t="n"/>
      <c r="K156" s="7" t="n"/>
      <c r="L156" s="7" t="n"/>
      <c r="M156" s="7" t="n"/>
      <c r="N156" s="7" t="n"/>
      <c r="O156" s="7" t="n"/>
      <c r="P156" s="7" t="n"/>
      <c r="Q156" s="7" t="n"/>
      <c r="R156" s="7" t="n"/>
      <c r="S156" s="7" t="n"/>
      <c r="T156" s="7" t="n"/>
      <c r="U156" s="7" t="n"/>
      <c r="V156" s="7" t="n"/>
      <c r="W156" s="7" t="n"/>
      <c r="X156" s="7" t="n"/>
      <c r="Y156" s="7" t="n"/>
      <c r="Z156" s="7" t="n"/>
    </row>
    <row r="157" ht="15.75" customHeight="1" s="33">
      <c r="A157" s="34" t="inlineStr">
        <is>
          <t>menu_submission_items  —  Toàn bộ món của bản menu đề xuất</t>
        </is>
      </c>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ht="15.75" customHeight="1" s="33">
      <c r="A158" s="17" t="inlineStr">
        <is>
          <t>menu_submission_items</t>
        </is>
      </c>
      <c r="B158" s="17" t="inlineStr">
        <is>
          <t>id</t>
        </is>
      </c>
      <c r="C158" s="10" t="inlineStr">
        <is>
          <t>bigint</t>
        </is>
      </c>
      <c r="D158" s="16" t="inlineStr">
        <is>
          <t>NOT NULL</t>
        </is>
      </c>
      <c r="E158" s="10" t="inlineStr">
        <is>
          <t>Khóa chính</t>
        </is>
      </c>
      <c r="F158" s="10" t="inlineStr">
        <is>
          <t>PK</t>
        </is>
      </c>
      <c r="G158" s="10"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33">
      <c r="A159" s="17" t="inlineStr">
        <is>
          <t>menu_submission_items</t>
        </is>
      </c>
      <c r="B159" s="17" t="inlineStr">
        <is>
          <t>submission_id</t>
        </is>
      </c>
      <c r="C159" s="10" t="inlineStr">
        <is>
          <t>bigint</t>
        </is>
      </c>
      <c r="D159" s="16" t="inlineStr">
        <is>
          <t>NOT NULL</t>
        </is>
      </c>
      <c r="E159" s="10" t="inlineStr">
        <is>
          <t>Bản menu chứa dòng này</t>
        </is>
      </c>
      <c r="F159" s="10" t="inlineStr">
        <is>
          <t>UK (ghép), FK → menu_submissions (ON DELETE CASCADE)</t>
        </is>
      </c>
      <c r="G159" s="10"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33">
      <c r="A160" s="17" t="inlineStr">
        <is>
          <t>menu_submission_items</t>
        </is>
      </c>
      <c r="B160" s="17" t="inlineStr">
        <is>
          <t>source_dish_id</t>
        </is>
      </c>
      <c r="C160" s="10" t="inlineStr">
        <is>
          <t>integer</t>
        </is>
      </c>
      <c r="D160" s="10" t="inlineStr">
        <is>
          <t>NULL</t>
        </is>
      </c>
      <c r="E160" s="10" t="inlineStr">
        <is>
          <t>Món đang bán được sửa/giữ; NULL = món mới</t>
        </is>
      </c>
      <c r="F160" s="10" t="inlineStr">
        <is>
          <t>UK (ghép), FK → dishes</t>
        </is>
      </c>
      <c r="G160" s="10"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33">
      <c r="A161" s="17" t="inlineStr">
        <is>
          <t>menu_submission_items</t>
        </is>
      </c>
      <c r="B161" s="17" t="inlineStr">
        <is>
          <t>name</t>
        </is>
      </c>
      <c r="C161" s="10" t="inlineStr">
        <is>
          <t>character varying(200)</t>
        </is>
      </c>
      <c r="D161" s="16" t="inlineStr">
        <is>
          <t>NOT NULL</t>
        </is>
      </c>
      <c r="E161" s="10" t="inlineStr">
        <is>
          <t>Tên món đề xuất</t>
        </is>
      </c>
      <c r="F161" s="10" t="n"/>
      <c r="G161" s="10"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33">
      <c r="A162" s="17" t="inlineStr">
        <is>
          <t>menu_submission_items</t>
        </is>
      </c>
      <c r="B162" s="17" t="inlineStr">
        <is>
          <t>description</t>
        </is>
      </c>
      <c r="C162" s="10" t="inlineStr">
        <is>
          <t>text</t>
        </is>
      </c>
      <c r="D162" s="10" t="inlineStr">
        <is>
          <t>NULL</t>
        </is>
      </c>
      <c r="E162" s="10" t="inlineStr">
        <is>
          <t>Mô tả đề xuất</t>
        </is>
      </c>
      <c r="F162" s="10" t="n"/>
      <c r="G162" s="10" t="n"/>
      <c r="H162" s="7" t="n"/>
      <c r="I162" s="7" t="n"/>
      <c r="K162" s="7" t="n"/>
      <c r="L162" s="7" t="n"/>
      <c r="M162" s="7" t="n"/>
      <c r="N162" s="7" t="n"/>
      <c r="O162" s="7" t="n"/>
      <c r="P162" s="7" t="n"/>
      <c r="Q162" s="7" t="n"/>
      <c r="R162" s="7" t="n"/>
      <c r="S162" s="7" t="n"/>
      <c r="T162" s="7" t="n"/>
      <c r="U162" s="7" t="n"/>
      <c r="V162" s="7" t="n"/>
      <c r="W162" s="7" t="n"/>
      <c r="X162" s="7" t="n"/>
      <c r="Y162" s="7" t="n"/>
      <c r="Z162" s="7" t="n"/>
    </row>
    <row r="163" ht="15.75" customHeight="1" s="33">
      <c r="A163" s="17" t="inlineStr">
        <is>
          <t>menu_submission_items</t>
        </is>
      </c>
      <c r="B163" s="17" t="inlineStr">
        <is>
          <t>dish_form</t>
        </is>
      </c>
      <c r="C163" s="10" t="inlineStr">
        <is>
          <t>character varying(10)</t>
        </is>
      </c>
      <c r="D163" s="16" t="inlineStr">
        <is>
          <t>NOT NULL</t>
        </is>
      </c>
      <c r="E163" s="10" t="inlineStr">
        <is>
          <t>Loại món đề xuất</t>
        </is>
      </c>
      <c r="F163" s="10" t="n"/>
      <c r="G163" s="10" t="inlineStr">
        <is>
          <t>"other"</t>
        </is>
      </c>
      <c r="H163" s="15" t="n"/>
      <c r="I163" s="7" t="n"/>
      <c r="K163" s="7" t="n"/>
      <c r="L163" s="7" t="n"/>
      <c r="M163" s="7" t="n"/>
      <c r="N163" s="7" t="n"/>
      <c r="O163" s="7" t="n"/>
      <c r="P163" s="7" t="n"/>
      <c r="Q163" s="7" t="n"/>
      <c r="R163" s="7" t="n"/>
      <c r="S163" s="7" t="n"/>
      <c r="T163" s="7" t="n"/>
      <c r="U163" s="7" t="n"/>
      <c r="V163" s="7" t="n"/>
      <c r="W163" s="7" t="n"/>
      <c r="X163" s="7" t="n"/>
      <c r="Y163" s="7" t="n"/>
      <c r="Z163" s="7" t="n"/>
    </row>
    <row r="164" ht="15.75" customHeight="1" s="33">
      <c r="A164" s="17" t="inlineStr">
        <is>
          <t>menu_submission_items</t>
        </is>
      </c>
      <c r="B164" s="17" t="inlineStr">
        <is>
          <t>price</t>
        </is>
      </c>
      <c r="C164" s="10" t="inlineStr">
        <is>
          <t>numeric(12,0)</t>
        </is>
      </c>
      <c r="D164" s="16" t="inlineStr">
        <is>
          <t>NOT NULL</t>
        </is>
      </c>
      <c r="E164" s="10" t="inlineStr">
        <is>
          <t>Giá đề xuất (VND)</t>
        </is>
      </c>
      <c r="F164" s="10" t="n"/>
      <c r="G164" s="10"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33">
      <c r="A165" s="17" t="inlineStr">
        <is>
          <t>menu_submission_items</t>
        </is>
      </c>
      <c r="B165" s="17" t="inlineStr">
        <is>
          <t>cover_media_id</t>
        </is>
      </c>
      <c r="C165" s="10" t="inlineStr">
        <is>
          <t>bigint</t>
        </is>
      </c>
      <c r="D165" s="10" t="inlineStr">
        <is>
          <t>NULL</t>
        </is>
      </c>
      <c r="E165" s="10" t="inlineStr">
        <is>
          <t>Ảnh đề xuất</t>
        </is>
      </c>
      <c r="F165" s="10" t="inlineStr">
        <is>
          <t>FK → media_files</t>
        </is>
      </c>
      <c r="G165" s="10"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33">
      <c r="A166" s="17" t="inlineStr">
        <is>
          <t>menu_submission_items</t>
        </is>
      </c>
      <c r="B166" s="17" t="inlineStr">
        <is>
          <t>tag_ids</t>
        </is>
      </c>
      <c r="C166" s="10" t="inlineStr">
        <is>
          <t>smallint[]</t>
        </is>
      </c>
      <c r="D166" s="16" t="inlineStr">
        <is>
          <t>NOT NULL</t>
        </is>
      </c>
      <c r="E166" s="10" t="inlineStr">
        <is>
          <t>Danh sách tag đề xuất</t>
        </is>
      </c>
      <c r="F166" s="10" t="n"/>
      <c r="G166" s="10" t="inlineStr">
        <is>
          <t>"{}"::smallint[]</t>
        </is>
      </c>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33">
      <c r="A167" s="17" t="inlineStr">
        <is>
          <t>menu_submission_items</t>
        </is>
      </c>
      <c r="B167" s="17" t="inlineStr">
        <is>
          <t>sort_order</t>
        </is>
      </c>
      <c r="C167" s="10" t="inlineStr">
        <is>
          <t>smallint</t>
        </is>
      </c>
      <c r="D167" s="16" t="inlineStr">
        <is>
          <t>NOT NULL</t>
        </is>
      </c>
      <c r="E167" s="10" t="inlineStr">
        <is>
          <t>Thứ tự trong menu</t>
        </is>
      </c>
      <c r="F167" s="10" t="n"/>
      <c r="G167" s="10" t="inlineStr">
        <is>
          <t>0</t>
        </is>
      </c>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33">
      <c r="A168" s="17" t="inlineStr">
        <is>
          <t>menu_submission_items</t>
        </is>
      </c>
      <c r="B168" s="17" t="inlineStr">
        <is>
          <t>result_dish_id</t>
        </is>
      </c>
      <c r="C168" s="10" t="inlineStr">
        <is>
          <t>integer</t>
        </is>
      </c>
      <c r="D168" s="10" t="inlineStr">
        <is>
          <t>NULL</t>
        </is>
      </c>
      <c r="E168" s="10" t="inlineStr">
        <is>
          <t>Dish_id sau khi duyệt (món mới hoặc = source_dish_id)</t>
        </is>
      </c>
      <c r="F168" s="10" t="inlineStr">
        <is>
          <t>FK → dishes</t>
        </is>
      </c>
      <c r="G168" s="10"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33">
      <c r="A169" s="34" t="inlineStr">
        <is>
          <t>restaurant_reviews  —  Review nhà hàng (1 lần/user/quán)</t>
        </is>
      </c>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ht="15.75" customHeight="1" s="33">
      <c r="A170" s="17" t="inlineStr">
        <is>
          <t>restaurant_reviews</t>
        </is>
      </c>
      <c r="B170" s="17" t="inlineStr">
        <is>
          <t>id</t>
        </is>
      </c>
      <c r="C170" s="10" t="inlineStr">
        <is>
          <t>bigint</t>
        </is>
      </c>
      <c r="D170" s="16" t="inlineStr">
        <is>
          <t>NOT NULL</t>
        </is>
      </c>
      <c r="E170" s="10" t="inlineStr">
        <is>
          <t>Khóa chính review</t>
        </is>
      </c>
      <c r="F170" s="10" t="inlineStr">
        <is>
          <t>PK</t>
        </is>
      </c>
      <c r="G170" s="10"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33">
      <c r="A171" s="17" t="inlineStr">
        <is>
          <t>restaurant_reviews</t>
        </is>
      </c>
      <c r="B171" s="17" t="inlineStr">
        <is>
          <t>restaurant_id</t>
        </is>
      </c>
      <c r="C171" s="10" t="inlineStr">
        <is>
          <t>bigint</t>
        </is>
      </c>
      <c r="D171" s="16" t="inlineStr">
        <is>
          <t>NOT NULL</t>
        </is>
      </c>
      <c r="E171" s="10" t="inlineStr">
        <is>
          <t>Nhà hàng được review</t>
        </is>
      </c>
      <c r="F171" s="10" t="inlineStr">
        <is>
          <t>UK (ghép), FK → restaurants</t>
        </is>
      </c>
      <c r="G171" s="10"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33">
      <c r="A172" s="17" t="inlineStr">
        <is>
          <t>restaurant_reviews</t>
        </is>
      </c>
      <c r="B172" s="17" t="inlineStr">
        <is>
          <t>user_id</t>
        </is>
      </c>
      <c r="C172" s="10" t="inlineStr">
        <is>
          <t>integer</t>
        </is>
      </c>
      <c r="D172" s="16" t="inlineStr">
        <is>
          <t>NOT NULL</t>
        </is>
      </c>
      <c r="E172" s="10" t="inlineStr">
        <is>
          <t>Người review (mỗi người 1 review/quán)</t>
        </is>
      </c>
      <c r="F172" s="10" t="inlineStr">
        <is>
          <t>UK (ghép), FK → users</t>
        </is>
      </c>
      <c r="G172" s="10"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33">
      <c r="A173" s="17" t="inlineStr">
        <is>
          <t>restaurant_reviews</t>
        </is>
      </c>
      <c r="B173" s="17" t="inlineStr">
        <is>
          <t>rating</t>
        </is>
      </c>
      <c r="C173" s="10" t="inlineStr">
        <is>
          <t>smallint</t>
        </is>
      </c>
      <c r="D173" s="16" t="inlineStr">
        <is>
          <t>NOT NULL</t>
        </is>
      </c>
      <c r="E173" s="10" t="inlineStr">
        <is>
          <t>Số sao 1 đến 5</t>
        </is>
      </c>
      <c r="F173" s="10" t="n"/>
      <c r="G173" s="10"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33">
      <c r="A174" s="17" t="inlineStr">
        <is>
          <t>restaurant_reviews</t>
        </is>
      </c>
      <c r="B174" s="17" t="inlineStr">
        <is>
          <t>content</t>
        </is>
      </c>
      <c r="C174" s="10" t="inlineStr">
        <is>
          <t>text</t>
        </is>
      </c>
      <c r="D174" s="10" t="inlineStr">
        <is>
          <t>NULL</t>
        </is>
      </c>
      <c r="E174" s="10" t="inlineStr">
        <is>
          <t>Nội dung review</t>
        </is>
      </c>
      <c r="F174" s="10" t="n"/>
      <c r="G174" s="10"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33">
      <c r="A175" s="17" t="inlineStr">
        <is>
          <t>restaurant_reviews</t>
        </is>
      </c>
      <c r="B175" s="17" t="inlineStr">
        <is>
          <t>roadmap_item_id</t>
        </is>
      </c>
      <c r="C175" s="10" t="inlineStr">
        <is>
          <t>bigint</t>
        </is>
      </c>
      <c r="D175" s="10" t="inlineStr">
        <is>
          <t>NULL</t>
        </is>
      </c>
      <c r="E175" s="10" t="inlineStr">
        <is>
          <t>Roadmap item phát sinh review (nếu có)</t>
        </is>
      </c>
      <c r="F175" s="10" t="inlineStr">
        <is>
          <t>FK → roadmap_items (ON DELETE SET NULL)</t>
        </is>
      </c>
      <c r="G175" s="10"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33">
      <c r="A176" s="17" t="inlineStr">
        <is>
          <t>restaurant_reviews</t>
        </is>
      </c>
      <c r="B176" s="17" t="inlineStr">
        <is>
          <t>status</t>
        </is>
      </c>
      <c r="C176" s="10" t="inlineStr">
        <is>
          <t>character varying(10)</t>
        </is>
      </c>
      <c r="D176" s="16" t="inlineStr">
        <is>
          <t>NOT NULL</t>
        </is>
      </c>
      <c r="E176" s="10" t="inlineStr">
        <is>
          <t>visible, hidden, removed (Mod xử lý)</t>
        </is>
      </c>
      <c r="F176" s="10" t="n"/>
      <c r="G176" s="10" t="inlineStr">
        <is>
          <t>"visible"</t>
        </is>
      </c>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33">
      <c r="A177" s="17" t="inlineStr">
        <is>
          <t>restaurant_reviews</t>
        </is>
      </c>
      <c r="B177" s="17" t="inlineStr">
        <is>
          <t>created_at</t>
        </is>
      </c>
      <c r="C177" s="10" t="inlineStr">
        <is>
          <t>timestamp with time zone</t>
        </is>
      </c>
      <c r="D177" s="16" t="inlineStr">
        <is>
          <t>NOT NULL</t>
        </is>
      </c>
      <c r="E177" s="10" t="inlineStr">
        <is>
          <t>Thời điểm tạo</t>
        </is>
      </c>
      <c r="F177" s="10" t="n"/>
      <c r="G177" s="10" t="inlineStr">
        <is>
          <t>now()</t>
        </is>
      </c>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33">
      <c r="A178" s="34" t="inlineStr">
        <is>
          <t>review_images  —  Ảnh đính kèm review</t>
        </is>
      </c>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ht="15.75" customHeight="1" s="33">
      <c r="A179" s="17" t="inlineStr">
        <is>
          <t>review_images</t>
        </is>
      </c>
      <c r="B179" s="17" t="inlineStr">
        <is>
          <t>review_id</t>
        </is>
      </c>
      <c r="C179" s="10" t="inlineStr">
        <is>
          <t>bigint</t>
        </is>
      </c>
      <c r="D179" s="16" t="inlineStr">
        <is>
          <t>NOT NULL</t>
        </is>
      </c>
      <c r="E179" s="10" t="inlineStr">
        <is>
          <t>Review</t>
        </is>
      </c>
      <c r="F179" s="10" t="inlineStr">
        <is>
          <t>PK (ghép), FK → restaurant_reviews (ON DELETE CASCADE)</t>
        </is>
      </c>
      <c r="G179" s="10"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33">
      <c r="A180" s="17" t="inlineStr">
        <is>
          <t>review_images</t>
        </is>
      </c>
      <c r="B180" s="17" t="inlineStr">
        <is>
          <t>media_id</t>
        </is>
      </c>
      <c r="C180" s="10" t="inlineStr">
        <is>
          <t>bigint</t>
        </is>
      </c>
      <c r="D180" s="16" t="inlineStr">
        <is>
          <t>NOT NULL</t>
        </is>
      </c>
      <c r="E180" s="10" t="inlineStr">
        <is>
          <t>Ảnh đính kèm</t>
        </is>
      </c>
      <c r="F180" s="10" t="inlineStr">
        <is>
          <t>PK (ghép), FK → media_files</t>
        </is>
      </c>
      <c r="G180" s="10"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33">
      <c r="A181" s="34" t="inlineStr">
        <is>
          <t>review_replies  —  Phản hồi của Owner cho review</t>
        </is>
      </c>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ht="15.75" customHeight="1" s="33">
      <c r="A182" s="17" t="inlineStr">
        <is>
          <t>review_replies</t>
        </is>
      </c>
      <c r="B182" s="17" t="inlineStr">
        <is>
          <t>review_id</t>
        </is>
      </c>
      <c r="C182" s="10" t="inlineStr">
        <is>
          <t>bigint</t>
        </is>
      </c>
      <c r="D182" s="16" t="inlineStr">
        <is>
          <t>NOT NULL</t>
        </is>
      </c>
      <c r="E182" s="10" t="inlineStr">
        <is>
          <t>Review được trả lời (1 phản hồi/review)</t>
        </is>
      </c>
      <c r="F182" s="10" t="inlineStr">
        <is>
          <t>PK, FK → restaurant_reviews (ON DELETE CASCADE)</t>
        </is>
      </c>
      <c r="G182" s="10"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33">
      <c r="A183" s="17" t="inlineStr">
        <is>
          <t>review_replies</t>
        </is>
      </c>
      <c r="B183" s="17" t="inlineStr">
        <is>
          <t>replier_id</t>
        </is>
      </c>
      <c r="C183" s="10" t="inlineStr">
        <is>
          <t>integer</t>
        </is>
      </c>
      <c r="D183" s="16" t="inlineStr">
        <is>
          <t>NOT NULL</t>
        </is>
      </c>
      <c r="E183" s="10" t="inlineStr">
        <is>
          <t>Owner trả lời</t>
        </is>
      </c>
      <c r="F183" s="10" t="inlineStr">
        <is>
          <t>FK → users</t>
        </is>
      </c>
      <c r="G183" s="10"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33">
      <c r="A184" s="17" t="inlineStr">
        <is>
          <t>review_replies</t>
        </is>
      </c>
      <c r="B184" s="17" t="inlineStr">
        <is>
          <t>content</t>
        </is>
      </c>
      <c r="C184" s="10" t="inlineStr">
        <is>
          <t>text</t>
        </is>
      </c>
      <c r="D184" s="16" t="inlineStr">
        <is>
          <t>NOT NULL</t>
        </is>
      </c>
      <c r="E184" s="10" t="inlineStr">
        <is>
          <t>Nội dung phản hồi</t>
        </is>
      </c>
      <c r="F184" s="10" t="n"/>
      <c r="G184" s="10"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33">
      <c r="A185" s="17" t="inlineStr">
        <is>
          <t>review_replies</t>
        </is>
      </c>
      <c r="B185" s="17" t="inlineStr">
        <is>
          <t>status</t>
        </is>
      </c>
      <c r="C185" s="10" t="inlineStr">
        <is>
          <t>character varying(10)</t>
        </is>
      </c>
      <c r="D185" s="16" t="inlineStr">
        <is>
          <t>NOT NULL</t>
        </is>
      </c>
      <c r="E185" s="10" t="inlineStr">
        <is>
          <t>visible, hidden, removed</t>
        </is>
      </c>
      <c r="F185" s="10" t="n"/>
      <c r="G185" s="10" t="inlineStr">
        <is>
          <t>"visible"</t>
        </is>
      </c>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33">
      <c r="A186" s="17" t="inlineStr">
        <is>
          <t>review_replies</t>
        </is>
      </c>
      <c r="B186" s="17" t="inlineStr">
        <is>
          <t>created_at</t>
        </is>
      </c>
      <c r="C186" s="10" t="inlineStr">
        <is>
          <t>timestamp with time zone</t>
        </is>
      </c>
      <c r="D186" s="16" t="inlineStr">
        <is>
          <t>NOT NULL</t>
        </is>
      </c>
      <c r="E186" s="10" t="inlineStr">
        <is>
          <t>Thời điểm tạo</t>
        </is>
      </c>
      <c r="F186" s="10" t="n"/>
      <c r="G186" s="10" t="inlineStr">
        <is>
          <t>now()</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33">
      <c r="A187" s="17" t="inlineStr">
        <is>
          <t>review_replies</t>
        </is>
      </c>
      <c r="B187" s="17" t="inlineStr">
        <is>
          <t>updated_at</t>
        </is>
      </c>
      <c r="C187" s="10" t="inlineStr">
        <is>
          <t>timestamp with time zone</t>
        </is>
      </c>
      <c r="D187" s="16" t="inlineStr">
        <is>
          <t>NOT NULL</t>
        </is>
      </c>
      <c r="E187" s="10" t="inlineStr">
        <is>
          <t>Thời điểm cập nhật gần nhất</t>
        </is>
      </c>
      <c r="F187" s="10" t="n"/>
      <c r="G187" s="10" t="inlineStr">
        <is>
          <t>now()</t>
        </is>
      </c>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33">
      <c r="A188" s="34" t="inlineStr">
        <is>
          <t>dish_feedbacks  —  Like/dislike món từ roadmap item (1 lần/item)</t>
        </is>
      </c>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ht="15.75" customHeight="1" s="33">
      <c r="A189" s="17" t="inlineStr">
        <is>
          <t>dish_feedbacks</t>
        </is>
      </c>
      <c r="B189" s="17" t="inlineStr">
        <is>
          <t>id</t>
        </is>
      </c>
      <c r="C189" s="10" t="inlineStr">
        <is>
          <t>bigint</t>
        </is>
      </c>
      <c r="D189" s="16" t="inlineStr">
        <is>
          <t>NOT NULL</t>
        </is>
      </c>
      <c r="E189" s="10" t="inlineStr">
        <is>
          <t>Khóa chính</t>
        </is>
      </c>
      <c r="F189" s="10" t="inlineStr">
        <is>
          <t>PK</t>
        </is>
      </c>
      <c r="G189" s="10"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33">
      <c r="A190" s="17" t="inlineStr">
        <is>
          <t>dish_feedbacks</t>
        </is>
      </c>
      <c r="B190" s="17" t="inlineStr">
        <is>
          <t>event_uuid</t>
        </is>
      </c>
      <c r="C190" s="10" t="inlineStr">
        <is>
          <t>uuid</t>
        </is>
      </c>
      <c r="D190" s="16" t="inlineStr">
        <is>
          <t>NOT NULL</t>
        </is>
      </c>
      <c r="E190" s="10" t="inlineStr">
        <is>
          <t>Khóa idempotent; trùng với event_uuid của outbox và interaction_events bên reco</t>
        </is>
      </c>
      <c r="F190" s="10" t="inlineStr">
        <is>
          <t>UK</t>
        </is>
      </c>
      <c r="G190" s="10" t="inlineStr">
        <is>
          <t>gen_random_uuid()</t>
        </is>
      </c>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33">
      <c r="A191" s="17" t="inlineStr">
        <is>
          <t>dish_feedbacks</t>
        </is>
      </c>
      <c r="B191" s="17" t="inlineStr">
        <is>
          <t>user_id</t>
        </is>
      </c>
      <c r="C191" s="10" t="inlineStr">
        <is>
          <t>integer</t>
        </is>
      </c>
      <c r="D191" s="16" t="inlineStr">
        <is>
          <t>NOT NULL</t>
        </is>
      </c>
      <c r="E191" s="10" t="inlineStr">
        <is>
          <t>Người like/dislike</t>
        </is>
      </c>
      <c r="F191" s="10" t="inlineStr">
        <is>
          <t>FK → users</t>
        </is>
      </c>
      <c r="G191" s="10"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33">
      <c r="A192" s="17" t="inlineStr">
        <is>
          <t>dish_feedbacks</t>
        </is>
      </c>
      <c r="B192" s="17" t="inlineStr">
        <is>
          <t>dish_id</t>
        </is>
      </c>
      <c r="C192" s="10" t="inlineStr">
        <is>
          <t>integer</t>
        </is>
      </c>
      <c r="D192" s="16" t="inlineStr">
        <is>
          <t>NOT NULL</t>
        </is>
      </c>
      <c r="E192" s="10" t="inlineStr">
        <is>
          <t>Món được đánh giá</t>
        </is>
      </c>
      <c r="F192" s="10" t="inlineStr">
        <is>
          <t>FK → dishes</t>
        </is>
      </c>
      <c r="G192" s="10"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33">
      <c r="A193" s="17" t="inlineStr">
        <is>
          <t>dish_feedbacks</t>
        </is>
      </c>
      <c r="B193" s="17" t="inlineStr">
        <is>
          <t>value</t>
        </is>
      </c>
      <c r="C193" s="10" t="inlineStr">
        <is>
          <t>smallint</t>
        </is>
      </c>
      <c r="D193" s="16" t="inlineStr">
        <is>
          <t>NOT NULL</t>
        </is>
      </c>
      <c r="E193" s="10" t="inlineStr">
        <is>
          <t>1 = like, -1 = dislike</t>
        </is>
      </c>
      <c r="F193" s="10" t="n"/>
      <c r="G193" s="10"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33">
      <c r="A194" s="17" t="inlineStr">
        <is>
          <t>dish_feedbacks</t>
        </is>
      </c>
      <c r="B194" s="17" t="inlineStr">
        <is>
          <t>roadmap_item_id</t>
        </is>
      </c>
      <c r="C194" s="10" t="inlineStr">
        <is>
          <t>bigint</t>
        </is>
      </c>
      <c r="D194" s="10" t="inlineStr">
        <is>
          <t>NULL</t>
        </is>
      </c>
      <c r="E194" s="10" t="inlineStr">
        <is>
          <t>Luôn có khi tạo; thành NULL nếu item bị xóa sau đó</t>
        </is>
      </c>
      <c r="F194" s="10" t="inlineStr">
        <is>
          <t>UK, FK → roadmap_items (ON DELETE SET NULL)</t>
        </is>
      </c>
      <c r="G194" s="10"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33">
      <c r="A195" s="17" t="inlineStr">
        <is>
          <t>dish_feedbacks</t>
        </is>
      </c>
      <c r="B195" s="17" t="inlineStr">
        <is>
          <t>reco_request_id</t>
        </is>
      </c>
      <c r="C195" s="10" t="inlineStr">
        <is>
          <t>uuid</t>
        </is>
      </c>
      <c r="D195" s="10" t="inlineStr">
        <is>
          <t>NULL</t>
        </is>
      </c>
      <c r="E195" s="10" t="inlineStr">
        <is>
          <t>Lấy từ roadmap_items.reco_request_id</t>
        </is>
      </c>
      <c r="F195" s="10" t="n"/>
      <c r="G195" s="10"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33">
      <c r="A196" s="17" t="inlineStr">
        <is>
          <t>dish_feedbacks</t>
        </is>
      </c>
      <c r="B196" s="17" t="inlineStr">
        <is>
          <t>created_at</t>
        </is>
      </c>
      <c r="C196" s="10" t="inlineStr">
        <is>
          <t>timestamp with time zone</t>
        </is>
      </c>
      <c r="D196" s="16" t="inlineStr">
        <is>
          <t>NOT NULL</t>
        </is>
      </c>
      <c r="E196" s="10" t="inlineStr">
        <is>
          <t>Thời điểm tạo</t>
        </is>
      </c>
      <c r="F196" s="10" t="n"/>
      <c r="G196" s="10" t="inlineStr">
        <is>
          <t>now()</t>
        </is>
      </c>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33">
      <c r="A197" s="34" t="inlineStr">
        <is>
          <t>dish_rolls  —  Lịch sử Roll Dish</t>
        </is>
      </c>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ht="15.75" customHeight="1" s="33">
      <c r="A198" s="17" t="inlineStr">
        <is>
          <t>dish_rolls</t>
        </is>
      </c>
      <c r="B198" s="17" t="inlineStr">
        <is>
          <t>id</t>
        </is>
      </c>
      <c r="C198" s="10" t="inlineStr">
        <is>
          <t>bigint</t>
        </is>
      </c>
      <c r="D198" s="16" t="inlineStr">
        <is>
          <t>NOT NULL</t>
        </is>
      </c>
      <c r="E198" s="10" t="inlineStr">
        <is>
          <t>Khóa chính</t>
        </is>
      </c>
      <c r="F198" s="10" t="inlineStr">
        <is>
          <t>PK</t>
        </is>
      </c>
      <c r="G198" s="10"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33">
      <c r="A199" s="17" t="inlineStr">
        <is>
          <t>dish_rolls</t>
        </is>
      </c>
      <c r="B199" s="17" t="inlineStr">
        <is>
          <t>user_id</t>
        </is>
      </c>
      <c r="C199" s="10" t="inlineStr">
        <is>
          <t>integer</t>
        </is>
      </c>
      <c r="D199" s="16" t="inlineStr">
        <is>
          <t>NOT NULL</t>
        </is>
      </c>
      <c r="E199" s="10" t="inlineStr">
        <is>
          <t>Người roll</t>
        </is>
      </c>
      <c r="F199" s="10" t="inlineStr">
        <is>
          <t>FK → users</t>
        </is>
      </c>
      <c r="G199" s="10"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33">
      <c r="A200" s="17" t="inlineStr">
        <is>
          <t>dish_rolls</t>
        </is>
      </c>
      <c r="B200" s="17" t="inlineStr">
        <is>
          <t>dish_id</t>
        </is>
      </c>
      <c r="C200" s="10" t="inlineStr">
        <is>
          <t>integer</t>
        </is>
      </c>
      <c r="D200" s="16" t="inlineStr">
        <is>
          <t>NOT NULL</t>
        </is>
      </c>
      <c r="E200" s="10" t="inlineStr">
        <is>
          <t>Món được roll ra</t>
        </is>
      </c>
      <c r="F200" s="10" t="inlineStr">
        <is>
          <t>FK → dishes</t>
        </is>
      </c>
      <c r="G200" s="10"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33">
      <c r="A201" s="17" t="inlineStr">
        <is>
          <t>dish_rolls</t>
        </is>
      </c>
      <c r="B201" s="17" t="inlineStr">
        <is>
          <t>reco_request_id</t>
        </is>
      </c>
      <c r="C201" s="10" t="inlineStr">
        <is>
          <t>uuid</t>
        </is>
      </c>
      <c r="D201" s="10" t="inlineStr">
        <is>
          <t>NULL</t>
        </is>
      </c>
      <c r="E201" s="10" t="inlineStr">
        <is>
          <t>request_id của lần gợi ý dùng để roll</t>
        </is>
      </c>
      <c r="F201" s="10" t="n"/>
      <c r="G201" s="10"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33">
      <c r="A202" s="17" t="inlineStr">
        <is>
          <t>dish_rolls</t>
        </is>
      </c>
      <c r="B202" s="17" t="inlineStr">
        <is>
          <t>rolled_at</t>
        </is>
      </c>
      <c r="C202" s="10" t="inlineStr">
        <is>
          <t>timestamp with time zone</t>
        </is>
      </c>
      <c r="D202" s="16" t="inlineStr">
        <is>
          <t>NOT NULL</t>
        </is>
      </c>
      <c r="E202" s="10" t="inlineStr">
        <is>
          <t>Thời điểm roll</t>
        </is>
      </c>
      <c r="F202" s="10" t="n"/>
      <c r="G202" s="10" t="inlineStr">
        <is>
          <t>now()</t>
        </is>
      </c>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33">
      <c r="A203" s="34" t="inlineStr">
        <is>
          <t>roadmaps  —  Roadmap ẩm thực cá nhân</t>
        </is>
      </c>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ht="15.75" customHeight="1" s="33">
      <c r="A204" s="17" t="inlineStr">
        <is>
          <t>roadmaps</t>
        </is>
      </c>
      <c r="B204" s="17" t="inlineStr">
        <is>
          <t>id</t>
        </is>
      </c>
      <c r="C204" s="10" t="inlineStr">
        <is>
          <t>bigint</t>
        </is>
      </c>
      <c r="D204" s="16" t="inlineStr">
        <is>
          <t>NOT NULL</t>
        </is>
      </c>
      <c r="E204" s="10" t="inlineStr">
        <is>
          <t>Khóa chính roadmap</t>
        </is>
      </c>
      <c r="F204" s="10" t="inlineStr">
        <is>
          <t>PK</t>
        </is>
      </c>
      <c r="G204" s="10"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33">
      <c r="A205" s="17" t="inlineStr">
        <is>
          <t>roadmaps</t>
        </is>
      </c>
      <c r="B205" s="17" t="inlineStr">
        <is>
          <t>user_id</t>
        </is>
      </c>
      <c r="C205" s="10" t="inlineStr">
        <is>
          <t>integer</t>
        </is>
      </c>
      <c r="D205" s="16" t="inlineStr">
        <is>
          <t>NOT NULL</t>
        </is>
      </c>
      <c r="E205" s="10" t="inlineStr">
        <is>
          <t>Người tạo (roadmap cá nhân)</t>
        </is>
      </c>
      <c r="F205" s="10" t="inlineStr">
        <is>
          <t>FK → users</t>
        </is>
      </c>
      <c r="G205" s="10"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33">
      <c r="A206" s="17" t="inlineStr">
        <is>
          <t>roadmaps</t>
        </is>
      </c>
      <c r="B206" s="17" t="inlineStr">
        <is>
          <t>title</t>
        </is>
      </c>
      <c r="C206" s="10" t="inlineStr">
        <is>
          <t>character varying(200)</t>
        </is>
      </c>
      <c r="D206" s="16" t="inlineStr">
        <is>
          <t>NOT NULL</t>
        </is>
      </c>
      <c r="E206" s="10" t="inlineStr">
        <is>
          <t>Tên roadmap</t>
        </is>
      </c>
      <c r="F206" s="10" t="n"/>
      <c r="G206" s="10"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33">
      <c r="A207" s="17" t="inlineStr">
        <is>
          <t>roadmaps</t>
        </is>
      </c>
      <c r="B207" s="17" t="inlineStr">
        <is>
          <t>start_date</t>
        </is>
      </c>
      <c r="C207" s="10" t="inlineStr">
        <is>
          <t>date</t>
        </is>
      </c>
      <c r="D207" s="10" t="inlineStr">
        <is>
          <t>NULL</t>
        </is>
      </c>
      <c r="E207" s="10" t="inlineStr">
        <is>
          <t>Ngày bắt đầu chuyến đi</t>
        </is>
      </c>
      <c r="F207" s="10" t="n"/>
      <c r="G207" s="10"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33">
      <c r="A208" s="17" t="inlineStr">
        <is>
          <t>roadmaps</t>
        </is>
      </c>
      <c r="B208" s="17" t="inlineStr">
        <is>
          <t>num_days</t>
        </is>
      </c>
      <c r="C208" s="10" t="inlineStr">
        <is>
          <t>smallint</t>
        </is>
      </c>
      <c r="D208" s="16" t="inlineStr">
        <is>
          <t>NOT NULL</t>
        </is>
      </c>
      <c r="E208" s="10" t="inlineStr">
        <is>
          <t>Số ngày (1 đến 30)</t>
        </is>
      </c>
      <c r="F208" s="10" t="n"/>
      <c r="G208" s="10"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33">
      <c r="A209" s="17" t="inlineStr">
        <is>
          <t>roadmaps</t>
        </is>
      </c>
      <c r="B209" s="17" t="inlineStr">
        <is>
          <t>budget_amount</t>
        </is>
      </c>
      <c r="C209" s="10" t="inlineStr">
        <is>
          <t>numeric(14,0)</t>
        </is>
      </c>
      <c r="D209" s="10" t="inlineStr">
        <is>
          <t>NULL</t>
        </is>
      </c>
      <c r="E209" s="10" t="inlineStr">
        <is>
          <t>VND, toàn chuyến của 1 người</t>
        </is>
      </c>
      <c r="F209" s="10" t="n"/>
      <c r="G209" s="10" t="n"/>
      <c r="H209" s="7" t="n"/>
      <c r="I209" s="7" t="n"/>
      <c r="J209" s="7" t="n"/>
      <c r="K209" s="7" t="n"/>
      <c r="L209" s="7" t="n"/>
      <c r="M209" s="30" t="n"/>
      <c r="N209" s="7" t="n"/>
      <c r="O209" s="7" t="n"/>
      <c r="P209" s="7" t="n"/>
      <c r="Q209" s="7" t="n"/>
      <c r="R209" s="7" t="n"/>
      <c r="S209" s="7" t="n"/>
      <c r="T209" s="7" t="n"/>
      <c r="U209" s="7" t="n"/>
      <c r="V209" s="7" t="n"/>
      <c r="W209" s="7" t="n"/>
      <c r="X209" s="7" t="n"/>
      <c r="Y209" s="7" t="n"/>
      <c r="Z209" s="7" t="n"/>
    </row>
    <row r="210" ht="15.75" customHeight="1" s="33">
      <c r="A210" s="17" t="inlineStr">
        <is>
          <t>roadmaps</t>
        </is>
      </c>
      <c r="B210" s="17" t="inlineStr">
        <is>
          <t>origin_mode</t>
        </is>
      </c>
      <c r="C210" s="10" t="inlineStr">
        <is>
          <t>character varying(10)</t>
        </is>
      </c>
      <c r="D210" s="10" t="inlineStr">
        <is>
          <t>NOT NULL</t>
        </is>
      </c>
      <c r="E210" s="10" t="inlineStr">
        <is>
          <t>Điểm xuất phát: none = chưa có vị trí (khám phá cả tỉnh), pinned = chấm trên bản đồ (lưu tọa độ), gps = vị trí hiện tại (không lưu, app gửi mỗi lần gọi)</t>
        </is>
      </c>
      <c r="F210" s="10" t="n"/>
      <c r="G210" s="10" t="inlineStr">
        <is>
          <t>"none"</t>
        </is>
      </c>
      <c r="H210" s="7" t="n"/>
      <c r="I210" s="7" t="n"/>
      <c r="J210" s="7" t="n"/>
      <c r="K210" s="7" t="n"/>
      <c r="L210" s="7" t="n"/>
      <c r="M210" s="30" t="n"/>
      <c r="N210" s="7" t="n"/>
      <c r="O210" s="7" t="n"/>
      <c r="P210" s="7" t="n"/>
      <c r="Q210" s="7" t="n"/>
      <c r="R210" s="7" t="n"/>
      <c r="S210" s="7" t="n"/>
      <c r="T210" s="7" t="n"/>
      <c r="U210" s="7" t="n"/>
      <c r="V210" s="7" t="n"/>
      <c r="W210" s="7" t="n"/>
      <c r="X210" s="7" t="n"/>
      <c r="Y210" s="7" t="n"/>
      <c r="Z210" s="7" t="n"/>
    </row>
    <row r="211" ht="15.75" customHeight="1" s="33">
      <c r="A211" s="17" t="inlineStr">
        <is>
          <t>roadmaps</t>
        </is>
      </c>
      <c r="B211" s="17" t="inlineStr">
        <is>
          <t>origin_latitude</t>
        </is>
      </c>
      <c r="C211" s="10" t="inlineStr">
        <is>
          <t>numeric(9,6)</t>
        </is>
      </c>
      <c r="D211" s="10" t="inlineStr">
        <is>
          <t>NULL</t>
        </is>
      </c>
      <c r="E211" s="10" t="inlineStr">
        <is>
          <t>Vĩ độ điểm đã chấm. CHECK: có giá trị khi và chỉ khi origin_mode = pinned</t>
        </is>
      </c>
      <c r="F211" s="10" t="n"/>
      <c r="G211" s="10" t="n"/>
      <c r="H211" s="7" t="n"/>
      <c r="I211" s="7" t="n"/>
      <c r="J211" s="7" t="n"/>
      <c r="K211" s="7" t="n"/>
      <c r="L211" s="7" t="n"/>
      <c r="M211" s="30" t="n"/>
      <c r="N211" s="7" t="n"/>
      <c r="O211" s="7" t="n"/>
      <c r="P211" s="7" t="n"/>
      <c r="Q211" s="7" t="n"/>
      <c r="R211" s="7" t="n"/>
      <c r="S211" s="7" t="n"/>
      <c r="T211" s="7" t="n"/>
      <c r="U211" s="7" t="n"/>
      <c r="V211" s="7" t="n"/>
      <c r="W211" s="7" t="n"/>
      <c r="X211" s="7" t="n"/>
      <c r="Y211" s="7" t="n"/>
      <c r="Z211" s="7" t="n"/>
    </row>
    <row r="212" ht="15.75" customHeight="1" s="33">
      <c r="A212" s="17" t="inlineStr">
        <is>
          <t>roadmaps</t>
        </is>
      </c>
      <c r="B212" s="17" t="inlineStr">
        <is>
          <t>origin_longitude</t>
        </is>
      </c>
      <c r="C212" s="10" t="inlineStr">
        <is>
          <t>numeric(9,6)</t>
        </is>
      </c>
      <c r="D212" s="10" t="inlineStr">
        <is>
          <t>NULL</t>
        </is>
      </c>
      <c r="E212" s="10" t="inlineStr">
        <is>
          <t>Kinh độ điểm đã chấm. CHECK: như origin_latitude</t>
        </is>
      </c>
      <c r="F212" s="10" t="n"/>
      <c r="G212" s="10" t="n"/>
      <c r="H212" s="7" t="n"/>
      <c r="I212" s="7" t="n"/>
      <c r="J212" s="7" t="n"/>
      <c r="K212" s="7" t="n"/>
      <c r="L212" s="7" t="n"/>
      <c r="M212" s="30" t="n"/>
      <c r="N212" s="7" t="n"/>
      <c r="O212" s="7" t="n"/>
      <c r="P212" s="7" t="n"/>
      <c r="Q212" s="7" t="n"/>
      <c r="R212" s="7" t="n"/>
      <c r="S212" s="7" t="n"/>
      <c r="T212" s="7" t="n"/>
      <c r="U212" s="7" t="n"/>
      <c r="V212" s="7" t="n"/>
      <c r="W212" s="7" t="n"/>
      <c r="X212" s="7" t="n"/>
      <c r="Y212" s="7" t="n"/>
      <c r="Z212" s="7" t="n"/>
    </row>
    <row r="213" ht="15.75" customHeight="1" s="33">
      <c r="A213" s="17" t="inlineStr">
        <is>
          <t>roadmaps</t>
        </is>
      </c>
      <c r="B213" s="17" t="inlineStr">
        <is>
          <t>origin_label</t>
        </is>
      </c>
      <c r="C213" s="10" t="inlineStr">
        <is>
          <t>character varying(200)</t>
        </is>
      </c>
      <c r="D213" s="10" t="inlineStr">
        <is>
          <t>NULL</t>
        </is>
      </c>
      <c r="E213" s="10" t="inlineStr">
        <is>
          <t>Tên gợi nhớ của điểm đã chấm, ví dụ "Khách sạn Hanoi Pearl"</t>
        </is>
      </c>
      <c r="F213" s="10" t="n"/>
      <c r="G213" s="10" t="n"/>
      <c r="H213" s="7" t="n"/>
      <c r="I213" s="7" t="n"/>
      <c r="J213" s="7" t="n"/>
      <c r="K213" s="7" t="n"/>
      <c r="L213" s="7" t="n"/>
      <c r="M213" s="30" t="n"/>
      <c r="N213" s="7" t="n"/>
      <c r="O213" s="7" t="n"/>
      <c r="P213" s="7" t="n"/>
      <c r="Q213" s="7" t="n"/>
      <c r="R213" s="7" t="n"/>
      <c r="S213" s="7" t="n"/>
      <c r="T213" s="7" t="n"/>
      <c r="U213" s="7" t="n"/>
      <c r="V213" s="7" t="n"/>
      <c r="W213" s="7" t="n"/>
      <c r="X213" s="7" t="n"/>
      <c r="Y213" s="7" t="n"/>
      <c r="Z213" s="7" t="n"/>
    </row>
    <row r="214" ht="15.75" customHeight="1" s="33">
      <c r="A214" s="17" t="inlineStr">
        <is>
          <t>roadmaps</t>
        </is>
      </c>
      <c r="B214" s="17" t="inlineStr">
        <is>
          <t>created_at</t>
        </is>
      </c>
      <c r="C214" s="10" t="inlineStr">
        <is>
          <t>timestamp with time zone</t>
        </is>
      </c>
      <c r="D214" s="16" t="inlineStr">
        <is>
          <t>NOT NULL</t>
        </is>
      </c>
      <c r="E214" s="10" t="inlineStr">
        <is>
          <t>Thời điểm tạo</t>
        </is>
      </c>
      <c r="F214" s="10" t="n"/>
      <c r="G214" s="10" t="inlineStr">
        <is>
          <t>now()</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33">
      <c r="A215" s="17" t="inlineStr">
        <is>
          <t>roadmaps</t>
        </is>
      </c>
      <c r="B215" s="17" t="inlineStr">
        <is>
          <t>updated_at</t>
        </is>
      </c>
      <c r="C215" s="10" t="inlineStr">
        <is>
          <t>timestamp with time zone</t>
        </is>
      </c>
      <c r="D215" s="16" t="inlineStr">
        <is>
          <t>NOT NULL</t>
        </is>
      </c>
      <c r="E215" s="10" t="inlineStr">
        <is>
          <t>Thời điểm cập nhật gần nhất</t>
        </is>
      </c>
      <c r="F215" s="10" t="n"/>
      <c r="G215" s="10" t="inlineStr">
        <is>
          <t>now()</t>
        </is>
      </c>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33">
      <c r="A216" s="17" t="inlineStr">
        <is>
          <t>roadmaps</t>
        </is>
      </c>
      <c r="B216" s="17" t="inlineStr">
        <is>
          <t>deleted_at</t>
        </is>
      </c>
      <c r="C216" s="10" t="inlineStr">
        <is>
          <t>timestamp with time zone</t>
        </is>
      </c>
      <c r="D216" s="10" t="inlineStr">
        <is>
          <t>NULL</t>
        </is>
      </c>
      <c r="E216" s="10" t="inlineStr">
        <is>
          <t>Thời điểm xóa mềm; NULL = chưa xóa</t>
        </is>
      </c>
      <c r="F216" s="10" t="n"/>
      <c r="G216" s="10"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32" customHeight="1" s="33">
      <c r="A217" s="17" t="inlineStr">
        <is>
          <t xml:space="preserve">roadmaps</t>
        </is>
      </c>
      <c r="B217" s="17" t="inlineStr">
        <is>
          <t xml:space="preserve">version</t>
        </is>
      </c>
      <c r="C217" s="10" t="inlineStr">
        <is>
          <t xml:space="preserve">bigint</t>
        </is>
      </c>
      <c r="D217" s="16" t="inlineStr">
        <is>
          <t xml:space="preserve">NOT NULL</t>
        </is>
      </c>
      <c r="E217" s="10" t="inlineStr">
        <is>
          <t xml:space="preserve">Phiên bản aggregate dương; khởi tạo 1. Trigger tăng một lần/transaction khi metadata/day/item thay đổi, gồm RM-10.</t>
        </is>
      </c>
      <c r="F217" s="10" t="inlineStr">
        <is>
          <t xml:space="preserve">CHECK &gt; 0</t>
        </is>
      </c>
      <c r="G217" s="10" t="inlineStr">
        <is>
          <t xml:space="preserve">1</t>
        </is>
      </c>
      <c r="H217" s="7"/>
      <c r="I217" s="7"/>
      <c r="J217" s="7"/>
      <c r="K217" s="7"/>
      <c r="L217" s="7"/>
      <c r="M217" s="7"/>
      <c r="N217" s="7"/>
      <c r="O217" s="7"/>
      <c r="P217" s="7"/>
      <c r="Q217" s="7"/>
      <c r="R217" s="7"/>
      <c r="S217" s="7"/>
      <c r="T217" s="7"/>
      <c r="U217" s="7"/>
      <c r="V217" s="7"/>
      <c r="W217" s="7"/>
      <c r="X217" s="7"/>
      <c r="Y217" s="7"/>
      <c r="Z217" s="7"/>
    </row>
    <row r="218" ht="15.75" customHeight="1" s="33">
      <c r="A218" s="34" t="inlineStr">
        <is>
          <t>roadmap_days  —  Các ngày trong roadmap</t>
        </is>
      </c>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ht="15.75" customHeight="1" s="33">
      <c r="A219" s="17" t="inlineStr">
        <is>
          <t>roadmap_days</t>
        </is>
      </c>
      <c r="B219" s="17" t="inlineStr">
        <is>
          <t>id</t>
        </is>
      </c>
      <c r="C219" s="10" t="inlineStr">
        <is>
          <t>bigint</t>
        </is>
      </c>
      <c r="D219" s="16" t="inlineStr">
        <is>
          <t>NOT NULL</t>
        </is>
      </c>
      <c r="E219" s="10" t="inlineStr">
        <is>
          <t>Khóa chính ngày</t>
        </is>
      </c>
      <c r="F219" s="10" t="inlineStr">
        <is>
          <t>PK</t>
        </is>
      </c>
      <c r="G219" s="10"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33">
      <c r="A220" s="17" t="inlineStr">
        <is>
          <t>roadmap_days</t>
        </is>
      </c>
      <c r="B220" s="17" t="inlineStr">
        <is>
          <t>roadmap_id</t>
        </is>
      </c>
      <c r="C220" s="10" t="inlineStr">
        <is>
          <t>bigint</t>
        </is>
      </c>
      <c r="D220" s="16" t="inlineStr">
        <is>
          <t>NOT NULL</t>
        </is>
      </c>
      <c r="E220" s="10" t="inlineStr">
        <is>
          <t>Roadmap</t>
        </is>
      </c>
      <c r="F220" s="10" t="inlineStr">
        <is>
          <t>UK (ghép), FK → roadmaps (ON DELETE CASCADE)</t>
        </is>
      </c>
      <c r="G220" s="10"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33">
      <c r="A221" s="17" t="inlineStr">
        <is>
          <t>roadmap_days</t>
        </is>
      </c>
      <c r="B221" s="17" t="inlineStr">
        <is>
          <t>day_number</t>
        </is>
      </c>
      <c r="C221" s="10" t="inlineStr">
        <is>
          <t>smallint</t>
        </is>
      </c>
      <c r="D221" s="16" t="inlineStr">
        <is>
          <t>NOT NULL</t>
        </is>
      </c>
      <c r="E221" s="10" t="inlineStr">
        <is>
          <t>Ngày thứ mấy (từ 1)</t>
        </is>
      </c>
      <c r="F221" s="10" t="inlineStr">
        <is>
          <t>UK (ghép)</t>
        </is>
      </c>
      <c r="G221" s="10"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33">
      <c r="A222" s="17" t="inlineStr">
        <is>
          <t>roadmap_days</t>
        </is>
      </c>
      <c r="B222" s="17" t="inlineStr">
        <is>
          <t>note</t>
        </is>
      </c>
      <c r="C222" s="10" t="inlineStr">
        <is>
          <t>text</t>
        </is>
      </c>
      <c r="D222" s="10" t="inlineStr">
        <is>
          <t>NULL</t>
        </is>
      </c>
      <c r="E222" s="10" t="inlineStr">
        <is>
          <t>Ghi chú cho ngày</t>
        </is>
      </c>
      <c r="F222" s="10" t="n"/>
      <c r="G222" s="10"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33">
      <c r="A223" s="34" t="inlineStr">
        <is>
          <t>roadmap_items  —  Món (kèm quán) trong từng ngày của roadmap</t>
        </is>
      </c>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5.75" customHeight="1" s="33">
      <c r="A224" s="17" t="inlineStr">
        <is>
          <t>roadmap_items</t>
        </is>
      </c>
      <c r="B224" s="17" t="inlineStr">
        <is>
          <t>id</t>
        </is>
      </c>
      <c r="C224" s="10" t="inlineStr">
        <is>
          <t>bigint</t>
        </is>
      </c>
      <c r="D224" s="16" t="inlineStr">
        <is>
          <t>NOT NULL</t>
        </is>
      </c>
      <c r="E224" s="10" t="inlineStr">
        <is>
          <t>Khóa chính item</t>
        </is>
      </c>
      <c r="F224" s="10" t="inlineStr">
        <is>
          <t>PK</t>
        </is>
      </c>
      <c r="G224" s="10"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33">
      <c r="A225" s="17" t="inlineStr">
        <is>
          <t>roadmap_items</t>
        </is>
      </c>
      <c r="B225" s="17" t="inlineStr">
        <is>
          <t>roadmap_day_id</t>
        </is>
      </c>
      <c r="C225" s="10" t="inlineStr">
        <is>
          <t>bigint</t>
        </is>
      </c>
      <c r="D225" s="16" t="inlineStr">
        <is>
          <t>NOT NULL</t>
        </is>
      </c>
      <c r="E225" s="10" t="inlineStr">
        <is>
          <t>Ngày chứa item</t>
        </is>
      </c>
      <c r="F225" s="10" t="inlineStr">
        <is>
          <t>FK → roadmap_days (ON DELETE CASCADE)</t>
        </is>
      </c>
      <c r="G225" s="10"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33">
      <c r="A226" s="17" t="inlineStr">
        <is>
          <t>roadmap_items</t>
        </is>
      </c>
      <c r="B226" s="17" t="inlineStr">
        <is>
          <t>dish_id</t>
        </is>
      </c>
      <c r="C226" s="10" t="inlineStr">
        <is>
          <t>integer</t>
        </is>
      </c>
      <c r="D226" s="16" t="inlineStr">
        <is>
          <t>NOT NULL</t>
        </is>
      </c>
      <c r="E226" s="10" t="inlineStr">
        <is>
          <t>Món; quán suy ra từ dishes.restaurant_id</t>
        </is>
      </c>
      <c r="F226" s="10" t="inlineStr">
        <is>
          <t>FK → dishes</t>
        </is>
      </c>
      <c r="G226" s="10"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33">
      <c r="A227" s="17" t="inlineStr">
        <is>
          <t>roadmap_items</t>
        </is>
      </c>
      <c r="B227" s="17" t="inlineStr">
        <is>
          <t>meal_slot</t>
        </is>
      </c>
      <c r="C227" s="10" t="inlineStr">
        <is>
          <t>character varying(10)</t>
        </is>
      </c>
      <c r="D227" s="16" t="inlineStr">
        <is>
          <t>NOT NULL</t>
        </is>
      </c>
      <c r="E227" s="10" t="inlineStr">
        <is>
          <t>breakfast, lunch, dinner, snack, late_night</t>
        </is>
      </c>
      <c r="F227" s="10" t="n"/>
      <c r="G227" s="10"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33">
      <c r="A228" s="17" t="inlineStr">
        <is>
          <t>roadmap_items</t>
        </is>
      </c>
      <c r="B228" s="17" t="inlineStr">
        <is>
          <t>sort_order</t>
        </is>
      </c>
      <c r="C228" s="10" t="inlineStr">
        <is>
          <t>smallint</t>
        </is>
      </c>
      <c r="D228" s="16" t="inlineStr">
        <is>
          <t>NOT NULL</t>
        </is>
      </c>
      <c r="E228" s="10" t="inlineStr">
        <is>
          <t>Thứ tự trong ngày</t>
        </is>
      </c>
      <c r="F228" s="10" t="n"/>
      <c r="G228" s="10" t="inlineStr">
        <is>
          <t>0</t>
        </is>
      </c>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33">
      <c r="A229" s="17" t="inlineStr">
        <is>
          <t>roadmap_items</t>
        </is>
      </c>
      <c r="B229" s="17" t="inlineStr">
        <is>
          <t>source</t>
        </is>
      </c>
      <c r="C229" s="10" t="inlineStr">
        <is>
          <t>character varying(10)</t>
        </is>
      </c>
      <c r="D229" s="16" t="inlineStr">
        <is>
          <t>NOT NULL</t>
        </is>
      </c>
      <c r="E229" s="10" t="inlineStr">
        <is>
          <t>manual hoặc ai</t>
        </is>
      </c>
      <c r="F229" s="10" t="n"/>
      <c r="G229" s="10"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33">
      <c r="A230" s="17" t="inlineStr">
        <is>
          <t>roadmap_items</t>
        </is>
      </c>
      <c r="B230" s="17" t="inlineStr">
        <is>
          <t>reco_request_id</t>
        </is>
      </c>
      <c r="C230" s="10" t="inlineStr">
        <is>
          <t>uuid</t>
        </is>
      </c>
      <c r="D230" s="10" t="inlineStr">
        <is>
          <t>NULL</t>
        </is>
      </c>
      <c r="E230" s="10" t="inlineStr">
        <is>
          <t>Lần gợi ý sinh ra item này</t>
        </is>
      </c>
      <c r="F230" s="10" t="n"/>
      <c r="G230" s="10"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33">
      <c r="A231" s="17" t="inlineStr">
        <is>
          <t>roadmap_items</t>
        </is>
      </c>
      <c r="B231" s="17" t="inlineStr">
        <is>
          <t>created_at</t>
        </is>
      </c>
      <c r="C231" s="10" t="inlineStr">
        <is>
          <t>timestamp with time zone</t>
        </is>
      </c>
      <c r="D231" s="16" t="inlineStr">
        <is>
          <t>NOT NULL</t>
        </is>
      </c>
      <c r="E231" s="10" t="inlineStr">
        <is>
          <t>Thời điểm tạo</t>
        </is>
      </c>
      <c r="F231" s="10" t="n"/>
      <c r="G231" s="10" t="inlineStr">
        <is>
          <t>now()</t>
        </is>
      </c>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33">
      <c r="A232" s="17" t="inlineStr">
        <is>
          <t>roadmap_items</t>
        </is>
      </c>
      <c r="B232" s="17" t="inlineStr">
        <is>
          <t>updated_at</t>
        </is>
      </c>
      <c r="C232" s="10" t="inlineStr">
        <is>
          <t>timestamp with time zone</t>
        </is>
      </c>
      <c r="D232" s="16" t="inlineStr">
        <is>
          <t>NOT NULL</t>
        </is>
      </c>
      <c r="E232" s="10" t="inlineStr">
        <is>
          <t>Thời điểm cập nhật gần nhất</t>
        </is>
      </c>
      <c r="F232" s="10" t="n"/>
      <c r="G232" s="10" t="inlineStr">
        <is>
          <t>now()</t>
        </is>
      </c>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33">
      <c r="A233" s="34" t="inlineStr">
        <is>
          <t>roadmap_generation_jobs  —  Các lần gọi AI sinh roadmap</t>
        </is>
      </c>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5.75" customHeight="1" s="33">
      <c r="A234" s="17" t="inlineStr">
        <is>
          <t>roadmap_generation_jobs</t>
        </is>
      </c>
      <c r="B234" s="17" t="inlineStr">
        <is>
          <t>id</t>
        </is>
      </c>
      <c r="C234" s="10" t="inlineStr">
        <is>
          <t>bigint</t>
        </is>
      </c>
      <c r="D234" s="16" t="inlineStr">
        <is>
          <t>NOT NULL</t>
        </is>
      </c>
      <c r="E234" s="10" t="inlineStr">
        <is>
          <t>Khóa chính</t>
        </is>
      </c>
      <c r="F234" s="10" t="inlineStr">
        <is>
          <t>PK</t>
        </is>
      </c>
      <c r="G234" s="10"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33">
      <c r="A235" s="17" t="inlineStr">
        <is>
          <t>roadmap_generation_jobs</t>
        </is>
      </c>
      <c r="B235" s="17" t="inlineStr">
        <is>
          <t>roadmap_id</t>
        </is>
      </c>
      <c r="C235" s="10" t="inlineStr">
        <is>
          <t>bigint</t>
        </is>
      </c>
      <c r="D235" s="16" t="inlineStr">
        <is>
          <t>NOT NULL</t>
        </is>
      </c>
      <c r="E235" s="10" t="inlineStr">
        <is>
          <t>Roadmap được sinh</t>
        </is>
      </c>
      <c r="F235" s="10" t="inlineStr">
        <is>
          <t>FK → roadmaps (ON DELETE CASCADE)</t>
        </is>
      </c>
      <c r="G235" s="10"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33">
      <c r="A236" s="17" t="inlineStr">
        <is>
          <t>roadmap_generation_jobs</t>
        </is>
      </c>
      <c r="B236" s="17" t="inlineStr">
        <is>
          <t>requested_by</t>
        </is>
      </c>
      <c r="C236" s="10" t="inlineStr">
        <is>
          <t>integer</t>
        </is>
      </c>
      <c r="D236" s="16" t="inlineStr">
        <is>
          <t>NOT NULL</t>
        </is>
      </c>
      <c r="E236" s="10" t="inlineStr">
        <is>
          <t>Người yêu cầu</t>
        </is>
      </c>
      <c r="F236" s="10" t="inlineStr">
        <is>
          <t>FK → users</t>
        </is>
      </c>
      <c r="G236" s="10"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33">
      <c r="A237" s="17" t="inlineStr">
        <is>
          <t>roadmap_generation_jobs</t>
        </is>
      </c>
      <c r="B237" s="17" t="inlineStr">
        <is>
          <t>scope</t>
        </is>
      </c>
      <c r="C237" s="10" t="inlineStr">
        <is>
          <t>character varying(10)</t>
        </is>
      </c>
      <c r="D237" s="16" t="inlineStr">
        <is>
          <t>NOT NULL</t>
        </is>
      </c>
      <c r="E237" s="10" t="inlineStr">
        <is>
          <t>full = cả roadmap, day = 1 ngày, slot = 1 bữa</t>
        </is>
      </c>
      <c r="F237" s="10" t="n"/>
      <c r="G237" s="10" t="inlineStr">
        <is>
          <t>"full"</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33">
      <c r="A238" s="17" t="inlineStr">
        <is>
          <t>roadmap_generation_jobs</t>
        </is>
      </c>
      <c r="B238" s="17" t="inlineStr">
        <is>
          <t>input</t>
        </is>
      </c>
      <c r="C238" s="10" t="inlineStr">
        <is>
          <t>jsonb</t>
        </is>
      </c>
      <c r="D238" s="16" t="inlineStr">
        <is>
          <t>NOT NULL</t>
        </is>
      </c>
      <c r="E238" s="10" t="inlineStr">
        <is>
          <t>Constraints (gồm điểm xuất phát và bán kính đã dùng) + danh sách ứng viên đã gửi AI</t>
        </is>
      </c>
      <c r="F238" s="10" t="n"/>
      <c r="G238" s="10"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33">
      <c r="A239" s="17" t="inlineStr">
        <is>
          <t>roadmap_generation_jobs</t>
        </is>
      </c>
      <c r="B239" s="17" t="inlineStr">
        <is>
          <t>reco_request_id</t>
        </is>
      </c>
      <c r="C239" s="10" t="inlineStr">
        <is>
          <t>uuid</t>
        </is>
      </c>
      <c r="D239" s="10" t="inlineStr">
        <is>
          <t>NULL</t>
        </is>
      </c>
      <c r="E239" s="10" t="inlineStr">
        <is>
          <t>request_id của danh sách món gửi cho AI</t>
        </is>
      </c>
      <c r="F239" s="10" t="n"/>
      <c r="G239" s="10"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33">
      <c r="A240" s="17" t="inlineStr">
        <is>
          <t>roadmap_generation_jobs</t>
        </is>
      </c>
      <c r="B240" s="17" t="inlineStr">
        <is>
          <t>model_name</t>
        </is>
      </c>
      <c r="C240" s="10" t="inlineStr">
        <is>
          <t>character varying(100)</t>
        </is>
      </c>
      <c r="D240" s="10" t="inlineStr">
        <is>
          <t>NULL</t>
        </is>
      </c>
      <c r="E240" s="10" t="inlineStr">
        <is>
          <t>Model AI dùng</t>
        </is>
      </c>
      <c r="F240" s="10" t="n"/>
      <c r="G240" s="10"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33">
      <c r="A241" s="17" t="inlineStr">
        <is>
          <t>roadmap_generation_jobs</t>
        </is>
      </c>
      <c r="B241" s="17" t="inlineStr">
        <is>
          <t>prompt_version</t>
        </is>
      </c>
      <c r="C241" s="10" t="inlineStr">
        <is>
          <t>character varying(20)</t>
        </is>
      </c>
      <c r="D241" s="10" t="inlineStr">
        <is>
          <t>NULL</t>
        </is>
      </c>
      <c r="E241" s="10" t="inlineStr">
        <is>
          <t>Phiên bản prompt</t>
        </is>
      </c>
      <c r="F241" s="10" t="n"/>
      <c r="G241" s="10"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33">
      <c r="A242" s="17" t="inlineStr">
        <is>
          <t>roadmap_generation_jobs</t>
        </is>
      </c>
      <c r="B242" s="17" t="inlineStr">
        <is>
          <t>raw_output</t>
        </is>
      </c>
      <c r="C242" s="10" t="inlineStr">
        <is>
          <t>jsonb</t>
        </is>
      </c>
      <c r="D242" s="10" t="inlineStr">
        <is>
          <t>NULL</t>
        </is>
      </c>
      <c r="E242" s="10" t="inlineStr">
        <is>
          <t>Kết quả thô từ AI</t>
        </is>
      </c>
      <c r="F242" s="10" t="n"/>
      <c r="G242" s="10"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33">
      <c r="A243" s="17" t="inlineStr">
        <is>
          <t>roadmap_generation_jobs</t>
        </is>
      </c>
      <c r="B243" s="17" t="inlineStr">
        <is>
          <t>status</t>
        </is>
      </c>
      <c r="C243" s="10" t="inlineStr">
        <is>
          <t>character varying(15)</t>
        </is>
      </c>
      <c r="D243" s="16" t="inlineStr">
        <is>
          <t>NOT NULL</t>
        </is>
      </c>
      <c r="E243" s="10" t="inlineStr">
        <is>
          <t>queued, running, succeeded, failed</t>
        </is>
      </c>
      <c r="F243" s="10" t="n"/>
      <c r="G243" s="10" t="inlineStr">
        <is>
          <t>"queued"</t>
        </is>
      </c>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33">
      <c r="A244" s="17" t="inlineStr">
        <is>
          <t>roadmap_generation_jobs</t>
        </is>
      </c>
      <c r="B244" s="17" t="inlineStr">
        <is>
          <t>error_message</t>
        </is>
      </c>
      <c r="C244" s="10" t="inlineStr">
        <is>
          <t>text</t>
        </is>
      </c>
      <c r="D244" s="10" t="inlineStr">
        <is>
          <t>NULL</t>
        </is>
      </c>
      <c r="E244" s="10" t="inlineStr">
        <is>
          <t>Lỗi nếu thất bại</t>
        </is>
      </c>
      <c r="F244" s="10" t="n"/>
      <c r="G244" s="10"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33">
      <c r="A245" s="17" t="inlineStr">
        <is>
          <t>roadmap_generation_jobs</t>
        </is>
      </c>
      <c r="B245" s="17" t="inlineStr">
        <is>
          <t>created_at</t>
        </is>
      </c>
      <c r="C245" s="10" t="inlineStr">
        <is>
          <t>timestamp with time zone</t>
        </is>
      </c>
      <c r="D245" s="16" t="inlineStr">
        <is>
          <t>NOT NULL</t>
        </is>
      </c>
      <c r="E245" s="10" t="inlineStr">
        <is>
          <t>Thời điểm tạo</t>
        </is>
      </c>
      <c r="F245" s="10" t="n"/>
      <c r="G245" s="10" t="inlineStr">
        <is>
          <t>now()</t>
        </is>
      </c>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33">
      <c r="A246" s="17" t="inlineStr">
        <is>
          <t>roadmap_generation_jobs</t>
        </is>
      </c>
      <c r="B246" s="17" t="inlineStr">
        <is>
          <t>finished_at</t>
        </is>
      </c>
      <c r="C246" s="10" t="inlineStr">
        <is>
          <t>timestamp with time zone</t>
        </is>
      </c>
      <c r="D246" s="10" t="inlineStr">
        <is>
          <t>NULL</t>
        </is>
      </c>
      <c r="E246" s="10" t="inlineStr">
        <is>
          <t>Thời điểm kết thúc</t>
        </is>
      </c>
      <c r="F246" s="10" t="n"/>
      <c r="G246" s="10"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33">
      <c r="A247" s="34" t="inlineStr">
        <is>
          <t>blogs  —  Bài blog</t>
        </is>
      </c>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5.75" customHeight="1" s="33">
      <c r="A248" s="17" t="inlineStr">
        <is>
          <t>blogs</t>
        </is>
      </c>
      <c r="B248" s="17" t="inlineStr">
        <is>
          <t>id</t>
        </is>
      </c>
      <c r="C248" s="10" t="inlineStr">
        <is>
          <t>bigint</t>
        </is>
      </c>
      <c r="D248" s="16" t="inlineStr">
        <is>
          <t>NOT NULL</t>
        </is>
      </c>
      <c r="E248" s="10" t="inlineStr">
        <is>
          <t>Khóa chính blog</t>
        </is>
      </c>
      <c r="F248" s="10" t="inlineStr">
        <is>
          <t>PK</t>
        </is>
      </c>
      <c r="G248" s="10"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33">
      <c r="A249" s="17" t="inlineStr">
        <is>
          <t>blogs</t>
        </is>
      </c>
      <c r="B249" s="17" t="inlineStr">
        <is>
          <t>author_id</t>
        </is>
      </c>
      <c r="C249" s="10" t="inlineStr">
        <is>
          <t>integer</t>
        </is>
      </c>
      <c r="D249" s="16" t="inlineStr">
        <is>
          <t>NOT NULL</t>
        </is>
      </c>
      <c r="E249" s="10" t="inlineStr">
        <is>
          <t>Tác giả</t>
        </is>
      </c>
      <c r="F249" s="10" t="inlineStr">
        <is>
          <t>FK → users</t>
        </is>
      </c>
      <c r="G249" s="10"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33">
      <c r="A250" s="17" t="inlineStr">
        <is>
          <t>blogs</t>
        </is>
      </c>
      <c r="B250" s="17" t="inlineStr">
        <is>
          <t>roadmap_id</t>
        </is>
      </c>
      <c r="C250" s="10" t="inlineStr">
        <is>
          <t>bigint</t>
        </is>
      </c>
      <c r="D250" s="10" t="inlineStr">
        <is>
          <t>NULL</t>
        </is>
      </c>
      <c r="E250" s="10" t="inlineStr">
        <is>
          <t>Roadmap được chia sẻ (UC Share My Roadmap)</t>
        </is>
      </c>
      <c r="F250" s="10" t="inlineStr">
        <is>
          <t>FK → roadmaps</t>
        </is>
      </c>
      <c r="G250" s="10"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33">
      <c r="A251" s="17" t="inlineStr">
        <is>
          <t>blogs</t>
        </is>
      </c>
      <c r="B251" s="17" t="inlineStr">
        <is>
          <t>roadmap_snapshot</t>
        </is>
      </c>
      <c r="C251" s="10" t="inlineStr">
        <is>
          <t>jsonb</t>
        </is>
      </c>
      <c r="D251" s="10" t="inlineStr">
        <is>
          <t>NULL</t>
        </is>
      </c>
      <c r="E251" s="10" t="inlineStr">
        <is>
          <t>Bản chụp roadmap lúc share, để blog không đổi khi roadmap gốc bị sửa/xóa</t>
        </is>
      </c>
      <c r="F251" s="10" t="n"/>
      <c r="G251" s="10"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33">
      <c r="A252" s="17" t="inlineStr">
        <is>
          <t>blogs</t>
        </is>
      </c>
      <c r="B252" s="17" t="inlineStr">
        <is>
          <t>title</t>
        </is>
      </c>
      <c r="C252" s="10" t="inlineStr">
        <is>
          <t>character varying(255)</t>
        </is>
      </c>
      <c r="D252" s="16" t="inlineStr">
        <is>
          <t>NOT NULL</t>
        </is>
      </c>
      <c r="E252" s="10" t="inlineStr">
        <is>
          <t>Tiêu đề</t>
        </is>
      </c>
      <c r="F252" s="10" t="n"/>
      <c r="G252" s="10"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33">
      <c r="A253" s="17" t="inlineStr">
        <is>
          <t>blogs</t>
        </is>
      </c>
      <c r="B253" s="17" t="inlineStr">
        <is>
          <t>slug</t>
        </is>
      </c>
      <c r="C253" s="10" t="inlineStr">
        <is>
          <t>character varying(280)</t>
        </is>
      </c>
      <c r="D253" s="16" t="inlineStr">
        <is>
          <t>NOT NULL</t>
        </is>
      </c>
      <c r="E253" s="10" t="inlineStr">
        <is>
          <t>Slug dùng trên URL</t>
        </is>
      </c>
      <c r="F253" s="10" t="inlineStr">
        <is>
          <t>UK (deleted_at IS NULL)</t>
        </is>
      </c>
      <c r="G253" s="10"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33">
      <c r="A254" s="17" t="inlineStr">
        <is>
          <t>blogs</t>
        </is>
      </c>
      <c r="B254" s="17" t="inlineStr">
        <is>
          <t>content</t>
        </is>
      </c>
      <c r="C254" s="10" t="inlineStr">
        <is>
          <t>text</t>
        </is>
      </c>
      <c r="D254" s="16" t="inlineStr">
        <is>
          <t>NOT NULL</t>
        </is>
      </c>
      <c r="E254" s="10" t="inlineStr">
        <is>
          <t>Nội dung</t>
        </is>
      </c>
      <c r="F254" s="10" t="n"/>
      <c r="G254" s="10"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33">
      <c r="A255" s="17" t="inlineStr">
        <is>
          <t>blogs</t>
        </is>
      </c>
      <c r="B255" s="17" t="inlineStr">
        <is>
          <t>cover_media_id</t>
        </is>
      </c>
      <c r="C255" s="10" t="inlineStr">
        <is>
          <t>bigint</t>
        </is>
      </c>
      <c r="D255" s="10" t="inlineStr">
        <is>
          <t>NULL</t>
        </is>
      </c>
      <c r="E255" s="10" t="inlineStr">
        <is>
          <t>Ảnh bìa</t>
        </is>
      </c>
      <c r="F255" s="10" t="inlineStr">
        <is>
          <t>FK → media_files</t>
        </is>
      </c>
      <c r="G255" s="10"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33">
      <c r="A256" s="17" t="inlineStr">
        <is>
          <t>blogs</t>
        </is>
      </c>
      <c r="B256" s="17" t="inlineStr">
        <is>
          <t>status</t>
        </is>
      </c>
      <c r="C256" s="10" t="inlineStr">
        <is>
          <t>character varying(15)</t>
        </is>
      </c>
      <c r="D256" s="16" t="inlineStr">
        <is>
          <t>NOT NULL</t>
        </is>
      </c>
      <c r="E256" s="10" t="inlineStr">
        <is>
          <t>published, hidden, removed (đăng ngay, Mod ẩn/gỡ sau)</t>
        </is>
      </c>
      <c r="F256" s="10" t="n"/>
      <c r="G256" s="10" t="inlineStr">
        <is>
          <t>"published"</t>
        </is>
      </c>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33">
      <c r="A257" s="17" t="inlineStr">
        <is>
          <t>blogs</t>
        </is>
      </c>
      <c r="B257" s="17" t="inlineStr">
        <is>
          <t>published_at</t>
        </is>
      </c>
      <c r="C257" s="10" t="inlineStr">
        <is>
          <t>timestamp with time zone</t>
        </is>
      </c>
      <c r="D257" s="16" t="inlineStr">
        <is>
          <t>NOT NULL</t>
        </is>
      </c>
      <c r="E257" s="10" t="inlineStr">
        <is>
          <t>Thời điểm đăng</t>
        </is>
      </c>
      <c r="F257" s="10" t="n"/>
      <c r="G257" s="10" t="inlineStr">
        <is>
          <t>now()</t>
        </is>
      </c>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33">
      <c r="A258" s="17" t="inlineStr">
        <is>
          <t>blogs</t>
        </is>
      </c>
      <c r="B258" s="17" t="inlineStr">
        <is>
          <t>like_count</t>
        </is>
      </c>
      <c r="C258" s="10" t="inlineStr">
        <is>
          <t>integer</t>
        </is>
      </c>
      <c r="D258" s="16" t="inlineStr">
        <is>
          <t>NOT NULL</t>
        </is>
      </c>
      <c r="E258" s="10" t="inlineStr">
        <is>
          <t>Số like (denormalized)</t>
        </is>
      </c>
      <c r="F258" s="10" t="n"/>
      <c r="G258" s="10" t="inlineStr">
        <is>
          <t>0</t>
        </is>
      </c>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33">
      <c r="A259" s="17" t="inlineStr">
        <is>
          <t>blogs</t>
        </is>
      </c>
      <c r="B259" s="17" t="inlineStr">
        <is>
          <t>comment_count</t>
        </is>
      </c>
      <c r="C259" s="10" t="inlineStr">
        <is>
          <t>integer</t>
        </is>
      </c>
      <c r="D259" s="16" t="inlineStr">
        <is>
          <t>NOT NULL</t>
        </is>
      </c>
      <c r="E259" s="10" t="inlineStr">
        <is>
          <t>Số comment (denormalized)</t>
        </is>
      </c>
      <c r="F259" s="10" t="n"/>
      <c r="G259" s="10" t="inlineStr">
        <is>
          <t>0</t>
        </is>
      </c>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33">
      <c r="A260" s="17" t="inlineStr">
        <is>
          <t>blogs</t>
        </is>
      </c>
      <c r="B260" s="17" t="inlineStr">
        <is>
          <t>view_count</t>
        </is>
      </c>
      <c r="C260" s="10" t="inlineStr">
        <is>
          <t>integer</t>
        </is>
      </c>
      <c r="D260" s="16" t="inlineStr">
        <is>
          <t>NOT NULL</t>
        </is>
      </c>
      <c r="E260" s="10" t="inlineStr">
        <is>
          <t>Số lượt xem</t>
        </is>
      </c>
      <c r="F260" s="10" t="n"/>
      <c r="G260" s="10" t="inlineStr">
        <is>
          <t>0</t>
        </is>
      </c>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33">
      <c r="A261" s="17" t="inlineStr">
        <is>
          <t>blogs</t>
        </is>
      </c>
      <c r="B261" s="17" t="inlineStr">
        <is>
          <t>created_at</t>
        </is>
      </c>
      <c r="C261" s="10" t="inlineStr">
        <is>
          <t>timestamp with time zone</t>
        </is>
      </c>
      <c r="D261" s="16" t="inlineStr">
        <is>
          <t>NOT NULL</t>
        </is>
      </c>
      <c r="E261" s="10" t="inlineStr">
        <is>
          <t>Thời điểm tạo</t>
        </is>
      </c>
      <c r="F261" s="10" t="n"/>
      <c r="G261" s="10" t="inlineStr">
        <is>
          <t>now()</t>
        </is>
      </c>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33">
      <c r="A262" s="17" t="inlineStr">
        <is>
          <t>blogs</t>
        </is>
      </c>
      <c r="B262" s="17" t="inlineStr">
        <is>
          <t>updated_at</t>
        </is>
      </c>
      <c r="C262" s="10" t="inlineStr">
        <is>
          <t>timestamp with time zone</t>
        </is>
      </c>
      <c r="D262" s="16" t="inlineStr">
        <is>
          <t>NOT NULL</t>
        </is>
      </c>
      <c r="E262" s="10" t="inlineStr">
        <is>
          <t>Thời điểm cập nhật gần nhất</t>
        </is>
      </c>
      <c r="F262" s="10" t="n"/>
      <c r="G262" s="10" t="inlineStr">
        <is>
          <t>now()</t>
        </is>
      </c>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33">
      <c r="A263" s="17" t="inlineStr">
        <is>
          <t>blogs</t>
        </is>
      </c>
      <c r="B263" s="17" t="inlineStr">
        <is>
          <t>deleted_at</t>
        </is>
      </c>
      <c r="C263" s="10" t="inlineStr">
        <is>
          <t>timestamp with time zone</t>
        </is>
      </c>
      <c r="D263" s="10" t="inlineStr">
        <is>
          <t>NULL</t>
        </is>
      </c>
      <c r="E263" s="10" t="inlineStr">
        <is>
          <t>Thời điểm xóa mềm; NULL = chưa xóa</t>
        </is>
      </c>
      <c r="F263" s="10" t="n"/>
      <c r="G263" s="10"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33">
      <c r="A264" s="34" t="inlineStr">
        <is>
          <t>blog_images  —  Ảnh trong blog</t>
        </is>
      </c>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5.75" customHeight="1" s="33">
      <c r="A265" s="17" t="inlineStr">
        <is>
          <t>blog_images</t>
        </is>
      </c>
      <c r="B265" s="17" t="inlineStr">
        <is>
          <t>blog_id</t>
        </is>
      </c>
      <c r="C265" s="10" t="inlineStr">
        <is>
          <t>bigint</t>
        </is>
      </c>
      <c r="D265" s="16" t="inlineStr">
        <is>
          <t>NOT NULL</t>
        </is>
      </c>
      <c r="E265" s="10" t="inlineStr">
        <is>
          <t>Blog</t>
        </is>
      </c>
      <c r="F265" s="10" t="inlineStr">
        <is>
          <t>PK (ghép), FK → blogs (ON DELETE CASCADE)</t>
        </is>
      </c>
      <c r="G265" s="10"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33">
      <c r="A266" s="17" t="inlineStr">
        <is>
          <t>blog_images</t>
        </is>
      </c>
      <c r="B266" s="17" t="inlineStr">
        <is>
          <t>media_id</t>
        </is>
      </c>
      <c r="C266" s="10" t="inlineStr">
        <is>
          <t>bigint</t>
        </is>
      </c>
      <c r="D266" s="16" t="inlineStr">
        <is>
          <t>NOT NULL</t>
        </is>
      </c>
      <c r="E266" s="10" t="inlineStr">
        <is>
          <t>Ảnh</t>
        </is>
      </c>
      <c r="F266" s="10" t="inlineStr">
        <is>
          <t>PK (ghép), FK → media_files</t>
        </is>
      </c>
      <c r="G266" s="1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33">
      <c r="A267" s="17" t="inlineStr">
        <is>
          <t>blog_images</t>
        </is>
      </c>
      <c r="B267" s="17" t="inlineStr">
        <is>
          <t>sort_order</t>
        </is>
      </c>
      <c r="C267" s="10" t="inlineStr">
        <is>
          <t>smallint</t>
        </is>
      </c>
      <c r="D267" s="16" t="inlineStr">
        <is>
          <t>NOT NULL</t>
        </is>
      </c>
      <c r="E267" s="10" t="inlineStr">
        <is>
          <t>Thứ tự hiển thị</t>
        </is>
      </c>
      <c r="F267" s="10" t="n"/>
      <c r="G267" s="10" t="inlineStr">
        <is>
          <t>0</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33">
      <c r="A268" s="34" t="inlineStr">
        <is>
          <t>blog_likes  —  Like blog</t>
        </is>
      </c>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5.75" customHeight="1" s="33">
      <c r="A269" s="17" t="inlineStr">
        <is>
          <t>blog_likes</t>
        </is>
      </c>
      <c r="B269" s="17" t="inlineStr">
        <is>
          <t>blog_id</t>
        </is>
      </c>
      <c r="C269" s="10" t="inlineStr">
        <is>
          <t>bigint</t>
        </is>
      </c>
      <c r="D269" s="16" t="inlineStr">
        <is>
          <t>NOT NULL</t>
        </is>
      </c>
      <c r="E269" s="10" t="inlineStr">
        <is>
          <t>Blog được like</t>
        </is>
      </c>
      <c r="F269" s="10" t="inlineStr">
        <is>
          <t>PK (ghép), FK → blogs (ON DELETE CASCADE)</t>
        </is>
      </c>
      <c r="G269" s="10"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33">
      <c r="A270" s="17" t="inlineStr">
        <is>
          <t>blog_likes</t>
        </is>
      </c>
      <c r="B270" s="17" t="inlineStr">
        <is>
          <t>user_id</t>
        </is>
      </c>
      <c r="C270" s="10" t="inlineStr">
        <is>
          <t>integer</t>
        </is>
      </c>
      <c r="D270" s="16" t="inlineStr">
        <is>
          <t>NOT NULL</t>
        </is>
      </c>
      <c r="E270" s="10" t="inlineStr">
        <is>
          <t>Người like (1 like/blog)</t>
        </is>
      </c>
      <c r="F270" s="10" t="inlineStr">
        <is>
          <t>PK (ghép), FK → users</t>
        </is>
      </c>
      <c r="G270" s="10"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33">
      <c r="A271" s="17" t="inlineStr">
        <is>
          <t>blog_likes</t>
        </is>
      </c>
      <c r="B271" s="17" t="inlineStr">
        <is>
          <t>created_at</t>
        </is>
      </c>
      <c r="C271" s="10" t="inlineStr">
        <is>
          <t>timestamp with time zone</t>
        </is>
      </c>
      <c r="D271" s="16" t="inlineStr">
        <is>
          <t>NOT NULL</t>
        </is>
      </c>
      <c r="E271" s="10" t="inlineStr">
        <is>
          <t>Thời điểm tạo</t>
        </is>
      </c>
      <c r="F271" s="10" t="n"/>
      <c r="G271" s="10" t="inlineStr">
        <is>
          <t>now()</t>
        </is>
      </c>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33">
      <c r="A272" s="34" t="inlineStr">
        <is>
          <t>blog_comments  —  Comment blog (1 cấp)</t>
        </is>
      </c>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33">
      <c r="A273" s="17" t="inlineStr">
        <is>
          <t>blog_comments</t>
        </is>
      </c>
      <c r="B273" s="17" t="inlineStr">
        <is>
          <t>id</t>
        </is>
      </c>
      <c r="C273" s="10" t="inlineStr">
        <is>
          <t>bigint</t>
        </is>
      </c>
      <c r="D273" s="16" t="inlineStr">
        <is>
          <t>NOT NULL</t>
        </is>
      </c>
      <c r="E273" s="10" t="inlineStr">
        <is>
          <t>Khóa chính comment</t>
        </is>
      </c>
      <c r="F273" s="10" t="inlineStr">
        <is>
          <t>PK</t>
        </is>
      </c>
      <c r="G273" s="10"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33">
      <c r="A274" s="17" t="inlineStr">
        <is>
          <t>blog_comments</t>
        </is>
      </c>
      <c r="B274" s="17" t="inlineStr">
        <is>
          <t>blog_id</t>
        </is>
      </c>
      <c r="C274" s="10" t="inlineStr">
        <is>
          <t>bigint</t>
        </is>
      </c>
      <c r="D274" s="16" t="inlineStr">
        <is>
          <t>NOT NULL</t>
        </is>
      </c>
      <c r="E274" s="10" t="inlineStr">
        <is>
          <t>Blog</t>
        </is>
      </c>
      <c r="F274" s="10" t="inlineStr">
        <is>
          <t>FK → blogs</t>
        </is>
      </c>
      <c r="G274" s="10"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33">
      <c r="A275" s="17" t="inlineStr">
        <is>
          <t>blog_comments</t>
        </is>
      </c>
      <c r="B275" s="17" t="inlineStr">
        <is>
          <t>user_id</t>
        </is>
      </c>
      <c r="C275" s="10" t="inlineStr">
        <is>
          <t>integer</t>
        </is>
      </c>
      <c r="D275" s="16" t="inlineStr">
        <is>
          <t>NOT NULL</t>
        </is>
      </c>
      <c r="E275" s="10" t="inlineStr">
        <is>
          <t>Người comment</t>
        </is>
      </c>
      <c r="F275" s="10" t="inlineStr">
        <is>
          <t>FK → users</t>
        </is>
      </c>
      <c r="G275" s="10"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33">
      <c r="A276" s="17" t="inlineStr">
        <is>
          <t>blog_comments</t>
        </is>
      </c>
      <c r="B276" s="17" t="inlineStr">
        <is>
          <t>content</t>
        </is>
      </c>
      <c r="C276" s="10" t="inlineStr">
        <is>
          <t>text</t>
        </is>
      </c>
      <c r="D276" s="16" t="inlineStr">
        <is>
          <t>NOT NULL</t>
        </is>
      </c>
      <c r="E276" s="10" t="inlineStr">
        <is>
          <t>Nội dung (1 cấp, không có reply)</t>
        </is>
      </c>
      <c r="F276" s="10" t="n"/>
      <c r="G276" s="10"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33">
      <c r="A277" s="17" t="inlineStr">
        <is>
          <t>blog_comments</t>
        </is>
      </c>
      <c r="B277" s="17" t="inlineStr">
        <is>
          <t>status</t>
        </is>
      </c>
      <c r="C277" s="10" t="inlineStr">
        <is>
          <t>character varying(10)</t>
        </is>
      </c>
      <c r="D277" s="16" t="inlineStr">
        <is>
          <t>NOT NULL</t>
        </is>
      </c>
      <c r="E277" s="10" t="inlineStr">
        <is>
          <t>visible, hidden, removed</t>
        </is>
      </c>
      <c r="F277" s="10" t="n"/>
      <c r="G277" s="10" t="inlineStr">
        <is>
          <t>"visible"</t>
        </is>
      </c>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33">
      <c r="A278" s="17" t="inlineStr">
        <is>
          <t>blog_comments</t>
        </is>
      </c>
      <c r="B278" s="17" t="inlineStr">
        <is>
          <t>created_at</t>
        </is>
      </c>
      <c r="C278" s="10" t="inlineStr">
        <is>
          <t>timestamp with time zone</t>
        </is>
      </c>
      <c r="D278" s="16" t="inlineStr">
        <is>
          <t>NOT NULL</t>
        </is>
      </c>
      <c r="E278" s="10" t="inlineStr">
        <is>
          <t>Thời điểm tạo</t>
        </is>
      </c>
      <c r="F278" s="10" t="n"/>
      <c r="G278" s="10" t="inlineStr">
        <is>
          <t>now()</t>
        </is>
      </c>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33">
      <c r="A279" s="17" t="inlineStr">
        <is>
          <t>blog_comments</t>
        </is>
      </c>
      <c r="B279" s="17" t="inlineStr">
        <is>
          <t>updated_at</t>
        </is>
      </c>
      <c r="C279" s="10" t="inlineStr">
        <is>
          <t>timestamp with time zone</t>
        </is>
      </c>
      <c r="D279" s="16" t="inlineStr">
        <is>
          <t>NOT NULL</t>
        </is>
      </c>
      <c r="E279" s="10" t="inlineStr">
        <is>
          <t>Thời điểm cập nhật gần nhất</t>
        </is>
      </c>
      <c r="F279" s="10" t="n"/>
      <c r="G279" s="10" t="inlineStr">
        <is>
          <t>now()</t>
        </is>
      </c>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33">
      <c r="A280" s="17" t="inlineStr">
        <is>
          <t>blog_comments</t>
        </is>
      </c>
      <c r="B280" s="17" t="inlineStr">
        <is>
          <t>deleted_at</t>
        </is>
      </c>
      <c r="C280" s="10" t="inlineStr">
        <is>
          <t>timestamp with time zone</t>
        </is>
      </c>
      <c r="D280" s="10" t="inlineStr">
        <is>
          <t>NULL</t>
        </is>
      </c>
      <c r="E280" s="10" t="inlineStr">
        <is>
          <t>Thời điểm xóa mềm; NULL = chưa xóa</t>
        </is>
      </c>
      <c r="F280" s="10" t="n"/>
      <c r="G280" s="10"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33">
      <c r="A281" s="34" t="inlineStr">
        <is>
          <t>reports  —  Báo cáo nhà hàng hoặc blog</t>
        </is>
      </c>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5.75" customHeight="1" s="33">
      <c r="A282" s="17" t="inlineStr">
        <is>
          <t>reports</t>
        </is>
      </c>
      <c r="B282" s="17" t="inlineStr">
        <is>
          <t>id</t>
        </is>
      </c>
      <c r="C282" s="10" t="inlineStr">
        <is>
          <t>bigint</t>
        </is>
      </c>
      <c r="D282" s="16" t="inlineStr">
        <is>
          <t>NOT NULL</t>
        </is>
      </c>
      <c r="E282" s="10" t="inlineStr">
        <is>
          <t>Khóa chính report</t>
        </is>
      </c>
      <c r="F282" s="10" t="inlineStr">
        <is>
          <t>PK</t>
        </is>
      </c>
      <c r="G282" s="10"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33">
      <c r="A283" s="17" t="inlineStr">
        <is>
          <t>reports</t>
        </is>
      </c>
      <c r="B283" s="17" t="inlineStr">
        <is>
          <t>reporter_id</t>
        </is>
      </c>
      <c r="C283" s="10" t="inlineStr">
        <is>
          <t>integer</t>
        </is>
      </c>
      <c r="D283" s="16" t="inlineStr">
        <is>
          <t>NOT NULL</t>
        </is>
      </c>
      <c r="E283" s="10" t="inlineStr">
        <is>
          <t>Người báo cáo</t>
        </is>
      </c>
      <c r="F283" s="10" t="inlineStr">
        <is>
          <t>FK → users</t>
        </is>
      </c>
      <c r="G283" s="10"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33">
      <c r="A284" s="17" t="inlineStr">
        <is>
          <t>reports</t>
        </is>
      </c>
      <c r="B284" s="17" t="inlineStr">
        <is>
          <t>target_type</t>
        </is>
      </c>
      <c r="C284" s="10" t="inlineStr">
        <is>
          <t>character varying(15)</t>
        </is>
      </c>
      <c r="D284" s="16" t="inlineStr">
        <is>
          <t>NOT NULL</t>
        </is>
      </c>
      <c r="E284" s="10" t="inlineStr">
        <is>
          <t>restaurant hoặc blog</t>
        </is>
      </c>
      <c r="F284" s="10" t="n"/>
      <c r="G284" s="10"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33">
      <c r="A285" s="17" t="inlineStr">
        <is>
          <t>reports</t>
        </is>
      </c>
      <c r="B285" s="17" t="inlineStr">
        <is>
          <t>restaurant_id</t>
        </is>
      </c>
      <c r="C285" s="10" t="inlineStr">
        <is>
          <t>bigint</t>
        </is>
      </c>
      <c r="D285" s="10" t="inlineStr">
        <is>
          <t>NULL</t>
        </is>
      </c>
      <c r="E285" s="10" t="inlineStr">
        <is>
          <t>Nhà hàng bị báo cáo (khi target_type = restaurant)</t>
        </is>
      </c>
      <c r="F285" s="10" t="inlineStr">
        <is>
          <t>FK → restaurants</t>
        </is>
      </c>
      <c r="G285" s="10"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33">
      <c r="A286" s="17" t="inlineStr">
        <is>
          <t>reports</t>
        </is>
      </c>
      <c r="B286" s="17" t="inlineStr">
        <is>
          <t>blog_id</t>
        </is>
      </c>
      <c r="C286" s="10" t="inlineStr">
        <is>
          <t>bigint</t>
        </is>
      </c>
      <c r="D286" s="10" t="inlineStr">
        <is>
          <t>NULL</t>
        </is>
      </c>
      <c r="E286" s="10" t="inlineStr">
        <is>
          <t>Blog bị báo cáo (khi target_type = blog)</t>
        </is>
      </c>
      <c r="F286" s="10" t="inlineStr">
        <is>
          <t>FK → blogs</t>
        </is>
      </c>
      <c r="G286" s="10"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33">
      <c r="A287" s="17" t="inlineStr">
        <is>
          <t>reports</t>
        </is>
      </c>
      <c r="B287" s="17" t="inlineStr">
        <is>
          <t>reason_code</t>
        </is>
      </c>
      <c r="C287" s="10" t="inlineStr">
        <is>
          <t>character varying(30)</t>
        </is>
      </c>
      <c r="D287" s="16" t="inlineStr">
        <is>
          <t>NOT NULL</t>
        </is>
      </c>
      <c r="E287" s="10" t="inlineStr">
        <is>
          <t>wrong_info, closed, spam, offensive, hygiene, scam, other</t>
        </is>
      </c>
      <c r="F287" s="10" t="n"/>
      <c r="G287" s="10"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33">
      <c r="A288" s="17" t="inlineStr">
        <is>
          <t>reports</t>
        </is>
      </c>
      <c r="B288" s="17" t="inlineStr">
        <is>
          <t>description</t>
        </is>
      </c>
      <c r="C288" s="10" t="inlineStr">
        <is>
          <t>text</t>
        </is>
      </c>
      <c r="D288" s="10" t="inlineStr">
        <is>
          <t>NULL</t>
        </is>
      </c>
      <c r="E288" s="10" t="inlineStr">
        <is>
          <t>Mô tả chi tiết</t>
        </is>
      </c>
      <c r="F288" s="10" t="n"/>
      <c r="G288" s="10"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33">
      <c r="A289" s="17" t="inlineStr">
        <is>
          <t>reports</t>
        </is>
      </c>
      <c r="B289" s="17" t="inlineStr">
        <is>
          <t>evidence</t>
        </is>
      </c>
      <c r="C289" s="10" t="inlineStr">
        <is>
          <t>jsonb</t>
        </is>
      </c>
      <c r="D289" s="16" t="inlineStr">
        <is>
          <t>NOT NULL</t>
        </is>
      </c>
      <c r="E289" s="10" t="inlineStr">
        <is>
          <t>Danh sách media_id làm bằng chứng</t>
        </is>
      </c>
      <c r="F289" s="10" t="n"/>
      <c r="G289" s="10" t="inlineStr">
        <is>
          <t>"[]"</t>
        </is>
      </c>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33">
      <c r="A290" s="17" t="inlineStr">
        <is>
          <t>reports</t>
        </is>
      </c>
      <c r="B290" s="17" t="inlineStr">
        <is>
          <t>status</t>
        </is>
      </c>
      <c r="C290" s="10" t="inlineStr">
        <is>
          <t>character varying(15)</t>
        </is>
      </c>
      <c r="D290" s="16" t="inlineStr">
        <is>
          <t>NOT NULL</t>
        </is>
      </c>
      <c r="E290" s="10" t="inlineStr">
        <is>
          <t>pending, in_review, resolved, dismissed</t>
        </is>
      </c>
      <c r="F290" s="10" t="n"/>
      <c r="G290" s="10" t="inlineStr">
        <is>
          <t>"pending"</t>
        </is>
      </c>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33">
      <c r="A291" s="17" t="inlineStr">
        <is>
          <t>reports</t>
        </is>
      </c>
      <c r="B291" s="17" t="inlineStr">
        <is>
          <t>handled_by</t>
        </is>
      </c>
      <c r="C291" s="10" t="inlineStr">
        <is>
          <t>integer</t>
        </is>
      </c>
      <c r="D291" s="10" t="inlineStr">
        <is>
          <t>NULL</t>
        </is>
      </c>
      <c r="E291" s="10" t="inlineStr">
        <is>
          <t>Mod xử lý</t>
        </is>
      </c>
      <c r="F291" s="10" t="inlineStr">
        <is>
          <t>FK → users</t>
        </is>
      </c>
      <c r="G291" s="10"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33">
      <c r="A292" s="17" t="inlineStr">
        <is>
          <t>reports</t>
        </is>
      </c>
      <c r="B292" s="17" t="inlineStr">
        <is>
          <t>handled_at</t>
        </is>
      </c>
      <c r="C292" s="10" t="inlineStr">
        <is>
          <t>timestamp with time zone</t>
        </is>
      </c>
      <c r="D292" s="10" t="inlineStr">
        <is>
          <t>NULL</t>
        </is>
      </c>
      <c r="E292" s="10" t="inlineStr">
        <is>
          <t>Thời điểm xử lý</t>
        </is>
      </c>
      <c r="F292" s="10" t="n"/>
      <c r="G292" s="10"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33">
      <c r="A293" s="17" t="inlineStr">
        <is>
          <t>reports</t>
        </is>
      </c>
      <c r="B293" s="17" t="inlineStr">
        <is>
          <t>resolution_action</t>
        </is>
      </c>
      <c r="C293" s="10" t="inlineStr">
        <is>
          <t>character varying(20)</t>
        </is>
      </c>
      <c r="D293" s="10" t="inlineStr">
        <is>
          <t>NULL</t>
        </is>
      </c>
      <c r="E293" s="10" t="inlineStr">
        <is>
          <t>none, hide_blog, remove_blog, warn_user, suspend_user, ban_user, hide_restaurant, suspend_restaurant</t>
        </is>
      </c>
      <c r="F293" s="10" t="n"/>
      <c r="G293" s="10"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33">
      <c r="A294" s="17" t="inlineStr">
        <is>
          <t>reports</t>
        </is>
      </c>
      <c r="B294" s="17" t="inlineStr">
        <is>
          <t>resolution_note</t>
        </is>
      </c>
      <c r="C294" s="10" t="inlineStr">
        <is>
          <t>text</t>
        </is>
      </c>
      <c r="D294" s="10" t="inlineStr">
        <is>
          <t>NULL</t>
        </is>
      </c>
      <c r="E294" s="10" t="inlineStr">
        <is>
          <t>Ghi chú xử lý</t>
        </is>
      </c>
      <c r="F294" s="10" t="n"/>
      <c r="G294" s="10"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33">
      <c r="A295" s="17" t="inlineStr">
        <is>
          <t>reports</t>
        </is>
      </c>
      <c r="B295" s="17" t="inlineStr">
        <is>
          <t>created_at</t>
        </is>
      </c>
      <c r="C295" s="10" t="inlineStr">
        <is>
          <t>timestamp with time zone</t>
        </is>
      </c>
      <c r="D295" s="16" t="inlineStr">
        <is>
          <t>NOT NULL</t>
        </is>
      </c>
      <c r="E295" s="10" t="inlineStr">
        <is>
          <t>Thời điểm tạo</t>
        </is>
      </c>
      <c r="F295" s="10" t="n"/>
      <c r="G295" s="10" t="inlineStr">
        <is>
          <t>now()</t>
        </is>
      </c>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33">
      <c r="A296" s="34" t="inlineStr">
        <is>
          <t>user_sanctions  —  Lịch sử cảnh cáo/tạm khóa/cấm user</t>
        </is>
      </c>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5.75" customHeight="1" s="33">
      <c r="A297" s="17" t="inlineStr">
        <is>
          <t>user_sanctions</t>
        </is>
      </c>
      <c r="B297" s="17" t="inlineStr">
        <is>
          <t>id</t>
        </is>
      </c>
      <c r="C297" s="10" t="inlineStr">
        <is>
          <t>bigint</t>
        </is>
      </c>
      <c r="D297" s="16" t="inlineStr">
        <is>
          <t>NOT NULL</t>
        </is>
      </c>
      <c r="E297" s="10" t="inlineStr">
        <is>
          <t>Khóa chính</t>
        </is>
      </c>
      <c r="F297" s="10" t="inlineStr">
        <is>
          <t>PK</t>
        </is>
      </c>
      <c r="G297" s="10"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33">
      <c r="A298" s="17" t="inlineStr">
        <is>
          <t>user_sanctions</t>
        </is>
      </c>
      <c r="B298" s="17" t="inlineStr">
        <is>
          <t>user_id</t>
        </is>
      </c>
      <c r="C298" s="10" t="inlineStr">
        <is>
          <t>integer</t>
        </is>
      </c>
      <c r="D298" s="16" t="inlineStr">
        <is>
          <t>NOT NULL</t>
        </is>
      </c>
      <c r="E298" s="10" t="inlineStr">
        <is>
          <t>User bị xử phạt</t>
        </is>
      </c>
      <c r="F298" s="10" t="inlineStr">
        <is>
          <t>FK → users</t>
        </is>
      </c>
      <c r="G298" s="10"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33">
      <c r="A299" s="17" t="inlineStr">
        <is>
          <t>user_sanctions</t>
        </is>
      </c>
      <c r="B299" s="17" t="inlineStr">
        <is>
          <t>type</t>
        </is>
      </c>
      <c r="C299" s="10" t="inlineStr">
        <is>
          <t>character varying(10)</t>
        </is>
      </c>
      <c r="D299" s="16" t="inlineStr">
        <is>
          <t>NOT NULL</t>
        </is>
      </c>
      <c r="E299" s="10" t="inlineStr">
        <is>
          <t>warn, suspend, ban</t>
        </is>
      </c>
      <c r="F299" s="10" t="n"/>
      <c r="G299" s="10"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33">
      <c r="A300" s="17" t="inlineStr">
        <is>
          <t>user_sanctions</t>
        </is>
      </c>
      <c r="B300" s="17" t="inlineStr">
        <is>
          <t>reason</t>
        </is>
      </c>
      <c r="C300" s="10" t="inlineStr">
        <is>
          <t>text</t>
        </is>
      </c>
      <c r="D300" s="16" t="inlineStr">
        <is>
          <t>NOT NULL</t>
        </is>
      </c>
      <c r="E300" s="10" t="inlineStr">
        <is>
          <t>Lý do</t>
        </is>
      </c>
      <c r="F300" s="10" t="n"/>
      <c r="G300" s="10"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33">
      <c r="A301" s="17" t="inlineStr">
        <is>
          <t>user_sanctions</t>
        </is>
      </c>
      <c r="B301" s="17" t="inlineStr">
        <is>
          <t>report_id</t>
        </is>
      </c>
      <c r="C301" s="10" t="inlineStr">
        <is>
          <t>bigint</t>
        </is>
      </c>
      <c r="D301" s="10" t="inlineStr">
        <is>
          <t>NULL</t>
        </is>
      </c>
      <c r="E301" s="10" t="inlineStr">
        <is>
          <t>Report dẫn tới xử phạt (nếu có)</t>
        </is>
      </c>
      <c r="F301" s="10" t="inlineStr">
        <is>
          <t>FK → reports</t>
        </is>
      </c>
      <c r="G301" s="10"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33">
      <c r="A302" s="17" t="inlineStr">
        <is>
          <t>user_sanctions</t>
        </is>
      </c>
      <c r="B302" s="17" t="inlineStr">
        <is>
          <t>issued_by</t>
        </is>
      </c>
      <c r="C302" s="10" t="inlineStr">
        <is>
          <t>integer</t>
        </is>
      </c>
      <c r="D302" s="16" t="inlineStr">
        <is>
          <t>NOT NULL</t>
        </is>
      </c>
      <c r="E302" s="10" t="inlineStr">
        <is>
          <t>Mod xử phạt</t>
        </is>
      </c>
      <c r="F302" s="10" t="inlineStr">
        <is>
          <t>FK → users</t>
        </is>
      </c>
      <c r="G302" s="10"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33">
      <c r="A303" s="17" t="inlineStr">
        <is>
          <t>user_sanctions</t>
        </is>
      </c>
      <c r="B303" s="17" t="inlineStr">
        <is>
          <t>starts_at</t>
        </is>
      </c>
      <c r="C303" s="10" t="inlineStr">
        <is>
          <t>timestamp with time zone</t>
        </is>
      </c>
      <c r="D303" s="16" t="inlineStr">
        <is>
          <t>NOT NULL</t>
        </is>
      </c>
      <c r="E303" s="10" t="inlineStr">
        <is>
          <t>Bắt đầu hiệu lực</t>
        </is>
      </c>
      <c r="F303" s="10" t="n"/>
      <c r="G303" s="10" t="inlineStr">
        <is>
          <t>now()</t>
        </is>
      </c>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33">
      <c r="A304" s="17" t="inlineStr">
        <is>
          <t>user_sanctions</t>
        </is>
      </c>
      <c r="B304" s="17" t="inlineStr">
        <is>
          <t>ends_at</t>
        </is>
      </c>
      <c r="C304" s="10" t="inlineStr">
        <is>
          <t>timestamp with time zone</t>
        </is>
      </c>
      <c r="D304" s="10" t="inlineStr">
        <is>
          <t>NULL</t>
        </is>
      </c>
      <c r="E304" s="10" t="inlineStr">
        <is>
          <t>Hết hiệu lực; NULL với ban vĩnh viễn</t>
        </is>
      </c>
      <c r="F304" s="10" t="n"/>
      <c r="G304" s="10"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33">
      <c r="A305" s="17" t="inlineStr">
        <is>
          <t>user_sanctions</t>
        </is>
      </c>
      <c r="B305" s="17" t="inlineStr">
        <is>
          <t>lifted_by</t>
        </is>
      </c>
      <c r="C305" s="10" t="inlineStr">
        <is>
          <t>integer</t>
        </is>
      </c>
      <c r="D305" s="10" t="inlineStr">
        <is>
          <t>NULL</t>
        </is>
      </c>
      <c r="E305" s="10" t="inlineStr">
        <is>
          <t>Mod gỡ xử phạt (UC Unban User)</t>
        </is>
      </c>
      <c r="F305" s="10" t="inlineStr">
        <is>
          <t>FK → users</t>
        </is>
      </c>
      <c r="G305" s="10"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33">
      <c r="A306" s="17" t="inlineStr">
        <is>
          <t>user_sanctions</t>
        </is>
      </c>
      <c r="B306" s="17" t="inlineStr">
        <is>
          <t>lifted_at</t>
        </is>
      </c>
      <c r="C306" s="10" t="inlineStr">
        <is>
          <t>timestamp with time zone</t>
        </is>
      </c>
      <c r="D306" s="10" t="inlineStr">
        <is>
          <t>NULL</t>
        </is>
      </c>
      <c r="E306" s="10" t="inlineStr">
        <is>
          <t>Thời điểm gỡ (Unban)</t>
        </is>
      </c>
      <c r="F306" s="10" t="n"/>
      <c r="G306" s="10"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33">
      <c r="A307" s="17" t="inlineStr">
        <is>
          <t>user_sanctions</t>
        </is>
      </c>
      <c r="B307" s="17" t="inlineStr">
        <is>
          <t>lift_reason</t>
        </is>
      </c>
      <c r="C307" s="10" t="inlineStr">
        <is>
          <t>text</t>
        </is>
      </c>
      <c r="D307" s="10" t="inlineStr">
        <is>
          <t>NULL</t>
        </is>
      </c>
      <c r="E307" s="10" t="inlineStr">
        <is>
          <t>Lý do gỡ</t>
        </is>
      </c>
      <c r="F307" s="10" t="n"/>
      <c r="G307" s="10"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33">
      <c r="A308" s="34" t="inlineStr">
        <is>
          <t>notifications  —  Thông báo cho user</t>
        </is>
      </c>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5.75" customHeight="1" s="33">
      <c r="A309" s="17" t="inlineStr">
        <is>
          <t>notifications</t>
        </is>
      </c>
      <c r="B309" s="17" t="inlineStr">
        <is>
          <t>id</t>
        </is>
      </c>
      <c r="C309" s="10" t="inlineStr">
        <is>
          <t>bigint</t>
        </is>
      </c>
      <c r="D309" s="16" t="inlineStr">
        <is>
          <t>NOT NULL</t>
        </is>
      </c>
      <c r="E309" s="10" t="inlineStr">
        <is>
          <t>Khóa chính</t>
        </is>
      </c>
      <c r="F309" s="10" t="inlineStr">
        <is>
          <t>PK</t>
        </is>
      </c>
      <c r="G309" s="10"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33">
      <c r="A310" s="17" t="inlineStr">
        <is>
          <t>notifications</t>
        </is>
      </c>
      <c r="B310" s="17" t="inlineStr">
        <is>
          <t>recipient_id</t>
        </is>
      </c>
      <c r="C310" s="10" t="inlineStr">
        <is>
          <t>integer</t>
        </is>
      </c>
      <c r="D310" s="16" t="inlineStr">
        <is>
          <t>NOT NULL</t>
        </is>
      </c>
      <c r="E310" s="10" t="inlineStr">
        <is>
          <t>Người nhận</t>
        </is>
      </c>
      <c r="F310" s="10" t="inlineStr">
        <is>
          <t>FK → users</t>
        </is>
      </c>
      <c r="G310" s="10"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33">
      <c r="A311" s="17" t="inlineStr">
        <is>
          <t>notifications</t>
        </is>
      </c>
      <c r="B311" s="17" t="inlineStr">
        <is>
          <t>type</t>
        </is>
      </c>
      <c r="C311" s="10" t="inlineStr">
        <is>
          <t>character varying(40)</t>
        </is>
      </c>
      <c r="D311" s="16" t="inlineStr">
        <is>
          <t>NOT NULL</t>
        </is>
      </c>
      <c r="E311" s="10" t="inlineStr">
        <is>
          <t>Vd VERIFICATION_APPROVED, MENU_REJECTED, BLOG_COMMENTED, REVIEW_REPLIED, ROADMAP_GENERATED, REPORT_RESOLVED</t>
        </is>
      </c>
      <c r="F311" s="10" t="n"/>
      <c r="G311" s="10"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33">
      <c r="A312" s="17" t="inlineStr">
        <is>
          <t>notifications</t>
        </is>
      </c>
      <c r="B312" s="17" t="inlineStr">
        <is>
          <t>title</t>
        </is>
      </c>
      <c r="C312" s="10" t="inlineStr">
        <is>
          <t>character varying(255)</t>
        </is>
      </c>
      <c r="D312" s="16" t="inlineStr">
        <is>
          <t>NOT NULL</t>
        </is>
      </c>
      <c r="E312" s="10" t="inlineStr">
        <is>
          <t>Tiêu đề</t>
        </is>
      </c>
      <c r="F312" s="10" t="n"/>
      <c r="G312" s="10"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33">
      <c r="A313" s="17" t="inlineStr">
        <is>
          <t>notifications</t>
        </is>
      </c>
      <c r="B313" s="17" t="inlineStr">
        <is>
          <t>body</t>
        </is>
      </c>
      <c r="C313" s="10" t="inlineStr">
        <is>
          <t>text</t>
        </is>
      </c>
      <c r="D313" s="10" t="inlineStr">
        <is>
          <t>NULL</t>
        </is>
      </c>
      <c r="E313" s="10" t="inlineStr">
        <is>
          <t>Nội dung</t>
        </is>
      </c>
      <c r="F313" s="10" t="n"/>
      <c r="G313" s="10"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33">
      <c r="A314" s="17" t="inlineStr">
        <is>
          <t>notifications</t>
        </is>
      </c>
      <c r="B314" s="17" t="inlineStr">
        <is>
          <t>data</t>
        </is>
      </c>
      <c r="C314" s="10" t="inlineStr">
        <is>
          <t>jsonb</t>
        </is>
      </c>
      <c r="D314" s="16" t="inlineStr">
        <is>
          <t>NOT NULL</t>
        </is>
      </c>
      <c r="E314" s="10" t="inlineStr">
        <is>
          <t>{"blog_id":..} để client điều hướng</t>
        </is>
      </c>
      <c r="F314" s="10" t="n"/>
      <c r="G314" s="10" t="inlineStr">
        <is>
          <t>"{}"</t>
        </is>
      </c>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33">
      <c r="A315" s="17" t="inlineStr">
        <is>
          <t>notifications</t>
        </is>
      </c>
      <c r="B315" s="17" t="inlineStr">
        <is>
          <t>read_at</t>
        </is>
      </c>
      <c r="C315" s="10" t="inlineStr">
        <is>
          <t>timestamp with time zone</t>
        </is>
      </c>
      <c r="D315" s="10" t="inlineStr">
        <is>
          <t>NULL</t>
        </is>
      </c>
      <c r="E315" s="10" t="inlineStr">
        <is>
          <t>Thời điểm đọc; NULL = chưa đọc</t>
        </is>
      </c>
      <c r="F315" s="10" t="n"/>
      <c r="G315" s="10"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33">
      <c r="A316" s="17" t="inlineStr">
        <is>
          <t>notifications</t>
        </is>
      </c>
      <c r="B316" s="17" t="inlineStr">
        <is>
          <t>created_at</t>
        </is>
      </c>
      <c r="C316" s="10" t="inlineStr">
        <is>
          <t>timestamp with time zone</t>
        </is>
      </c>
      <c r="D316" s="16" t="inlineStr">
        <is>
          <t>NOT NULL</t>
        </is>
      </c>
      <c r="E316" s="10" t="inlineStr">
        <is>
          <t>Thời điểm tạo</t>
        </is>
      </c>
      <c r="F316" s="10" t="n"/>
      <c r="G316" s="10" t="inlineStr">
        <is>
          <t>now()</t>
        </is>
      </c>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33">
      <c r="A317" s="34" t="inlineStr">
        <is>
          <t>audit_logs  —  Nhật ký kiểm toán (append-only: trigger chặn UPDATE, DELETE, TRUNCATE)</t>
        </is>
      </c>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5.75" customHeight="1" s="33">
      <c r="A318" s="17" t="inlineStr">
        <is>
          <t>audit_logs</t>
        </is>
      </c>
      <c r="B318" s="17" t="inlineStr">
        <is>
          <t>id</t>
        </is>
      </c>
      <c r="C318" s="10" t="inlineStr">
        <is>
          <t>bigint</t>
        </is>
      </c>
      <c r="D318" s="16" t="inlineStr">
        <is>
          <t>NOT NULL</t>
        </is>
      </c>
      <c r="E318" s="10" t="inlineStr">
        <is>
          <t>Khóa chính</t>
        </is>
      </c>
      <c r="F318" s="10" t="inlineStr">
        <is>
          <t>PK</t>
        </is>
      </c>
      <c r="G318" s="10"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33">
      <c r="A319" s="17" t="inlineStr">
        <is>
          <t>audit_logs</t>
        </is>
      </c>
      <c r="B319" s="17" t="inlineStr">
        <is>
          <t>actor_id</t>
        </is>
      </c>
      <c r="C319" s="10" t="inlineStr">
        <is>
          <t>integer</t>
        </is>
      </c>
      <c r="D319" s="10" t="inlineStr">
        <is>
          <t>NULL</t>
        </is>
      </c>
      <c r="E319" s="10" t="inlineStr">
        <is>
          <t>Người thực hiện; NULL = hệ thống</t>
        </is>
      </c>
      <c r="F319" s="10" t="inlineStr">
        <is>
          <t>FK → users</t>
        </is>
      </c>
      <c r="G319" s="10"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33">
      <c r="A320" s="17" t="inlineStr">
        <is>
          <t>audit_logs</t>
        </is>
      </c>
      <c r="B320" s="17" t="inlineStr">
        <is>
          <t>actor_role</t>
        </is>
      </c>
      <c r="C320" s="10" t="inlineStr">
        <is>
          <t>character varying(30)</t>
        </is>
      </c>
      <c r="D320" s="10" t="inlineStr">
        <is>
          <t>NULL</t>
        </is>
      </c>
      <c r="E320" s="10" t="inlineStr">
        <is>
          <t>Role của người thực hiện lúc đó</t>
        </is>
      </c>
      <c r="F320" s="10" t="n"/>
      <c r="G320" s="10"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33">
      <c r="A321" s="17" t="inlineStr">
        <is>
          <t>audit_logs</t>
        </is>
      </c>
      <c r="B321" s="17" t="inlineStr">
        <is>
          <t>action</t>
        </is>
      </c>
      <c r="C321" s="10" t="inlineStr">
        <is>
          <t>character varying(60)</t>
        </is>
      </c>
      <c r="D321" s="16" t="inlineStr">
        <is>
          <t>NOT NULL</t>
        </is>
      </c>
      <c r="E321" s="10" t="inlineStr">
        <is>
          <t>Mã hành động, một giá trị của sheet Enum "audit_logs.action" (API Design), vd USER_LOGIN, USER_BANNED, RESTAURANT_VERIFIED, BLOG_HIDDEN, MOD_PERMISSIONS_CHANGED</t>
        </is>
      </c>
      <c r="F321" s="10" t="n"/>
      <c r="G321" s="10"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33">
      <c r="A322" s="17" t="inlineStr">
        <is>
          <t>audit_logs</t>
        </is>
      </c>
      <c r="B322" s="17" t="inlineStr">
        <is>
          <t>entity_type</t>
        </is>
      </c>
      <c r="C322" s="10" t="inlineStr">
        <is>
          <t>character varying(40)</t>
        </is>
      </c>
      <c r="D322" s="10" t="inlineStr">
        <is>
          <t>NULL</t>
        </is>
      </c>
      <c r="E322" s="10" t="inlineStr">
        <is>
          <t>Loại đối tượng bị tác động, một giá trị của sheet Enum "audit_logs.entityType" (API Design)</t>
        </is>
      </c>
      <c r="F322" s="10" t="n"/>
      <c r="G322" s="10"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33">
      <c r="A323" s="17" t="inlineStr">
        <is>
          <t>audit_logs</t>
        </is>
      </c>
      <c r="B323" s="17" t="inlineStr">
        <is>
          <t>entity_id</t>
        </is>
      </c>
      <c r="C323" s="10" t="inlineStr">
        <is>
          <t>bigint</t>
        </is>
      </c>
      <c r="D323" s="10" t="inlineStr">
        <is>
          <t>NULL</t>
        </is>
      </c>
      <c r="E323" s="10" t="inlineStr">
        <is>
          <t>Id đối tượng bị tác động</t>
        </is>
      </c>
      <c r="F323" s="10" t="n"/>
      <c r="G323" s="10"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33">
      <c r="A324" s="17" t="inlineStr">
        <is>
          <t>audit_logs</t>
        </is>
      </c>
      <c r="B324" s="17" t="inlineStr">
        <is>
          <t>subject_user_id</t>
        </is>
      </c>
      <c r="C324" s="10" t="inlineStr">
        <is>
          <t>integer</t>
        </is>
      </c>
      <c r="D324" s="10" t="inlineStr">
        <is>
          <t>NULL</t>
        </is>
      </c>
      <c r="E324" s="10" t="inlineStr">
        <is>
          <t>User bị tác động, để Mod lọc "audit của user X"</t>
        </is>
      </c>
      <c r="F324" s="10" t="inlineStr">
        <is>
          <t>FK → users</t>
        </is>
      </c>
      <c r="G324" s="10"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33">
      <c r="A325" s="17" t="inlineStr">
        <is>
          <t>audit_logs</t>
        </is>
      </c>
      <c r="B325" s="17" t="inlineStr">
        <is>
          <t>old_values</t>
        </is>
      </c>
      <c r="C325" s="10" t="inlineStr">
        <is>
          <t>jsonb</t>
        </is>
      </c>
      <c r="D325" s="10" t="inlineStr">
        <is>
          <t>NULL</t>
        </is>
      </c>
      <c r="E325" s="10" t="inlineStr">
        <is>
          <t>Giá trị trước thay đổi: chỉ các cột thay đổi, key snake_case; không chứa mật khẩu, hash, token</t>
        </is>
      </c>
      <c r="F325" s="10" t="n"/>
      <c r="G325" s="10"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33">
      <c r="A326" s="17" t="inlineStr">
        <is>
          <t>audit_logs</t>
        </is>
      </c>
      <c r="B326" s="17" t="inlineStr">
        <is>
          <t>new_values</t>
        </is>
      </c>
      <c r="C326" s="10" t="inlineStr">
        <is>
          <t>jsonb</t>
        </is>
      </c>
      <c r="D326" s="10" t="inlineStr">
        <is>
          <t>NULL</t>
        </is>
      </c>
      <c r="E326" s="10" t="inlineStr">
        <is>
          <t>Giá trị sau thay đổi: chỉ các cột thay đổi, key snake_case; lý do của Mod ở key reason; không chứa mật khẩu, hash, token</t>
        </is>
      </c>
      <c r="F326" s="10" t="n"/>
      <c r="G326" s="10"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33">
      <c r="A327" s="17" t="inlineStr">
        <is>
          <t>audit_logs</t>
        </is>
      </c>
      <c r="B327" s="17" t="inlineStr">
        <is>
          <t>ip_address</t>
        </is>
      </c>
      <c r="C327" s="10" t="inlineStr">
        <is>
          <t>inet</t>
        </is>
      </c>
      <c r="D327" s="10" t="inlineStr">
        <is>
          <t>NULL</t>
        </is>
      </c>
      <c r="E327" s="10" t="inlineStr">
        <is>
          <t>IP thực hiện</t>
        </is>
      </c>
      <c r="F327" s="10" t="n"/>
      <c r="G327" s="10"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33">
      <c r="A328" s="17" t="inlineStr">
        <is>
          <t>audit_logs</t>
        </is>
      </c>
      <c r="B328" s="17" t="inlineStr">
        <is>
          <t>user_agent</t>
        </is>
      </c>
      <c r="C328" s="10" t="inlineStr">
        <is>
          <t>character varying(500)</t>
        </is>
      </c>
      <c r="D328" s="10" t="inlineStr">
        <is>
          <t>NULL</t>
        </is>
      </c>
      <c r="E328" s="10" t="inlineStr">
        <is>
          <t>Thiết bị/trình duyệt</t>
        </is>
      </c>
      <c r="F328" s="10" t="n"/>
      <c r="G328" s="10"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33">
      <c r="A329" s="17" t="inlineStr">
        <is>
          <t>audit_logs</t>
        </is>
      </c>
      <c r="B329" s="17" t="inlineStr">
        <is>
          <t>created_at</t>
        </is>
      </c>
      <c r="C329" s="10" t="inlineStr">
        <is>
          <t>timestamp with time zone</t>
        </is>
      </c>
      <c r="D329" s="16" t="inlineStr">
        <is>
          <t>NOT NULL</t>
        </is>
      </c>
      <c r="E329" s="10" t="inlineStr">
        <is>
          <t>Thời điểm tạo</t>
        </is>
      </c>
      <c r="F329" s="10" t="n"/>
      <c r="G329" s="10" t="inlineStr">
        <is>
          <t>now()</t>
        </is>
      </c>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33">
      <c r="A330" s="34" t="inlineStr">
        <is>
          <t>outbox_messages  —  Transactional outbox đồng bộ core sang recommendation</t>
        </is>
      </c>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5.75" customHeight="1" s="33">
      <c r="A331" s="17" t="inlineStr">
        <is>
          <t>outbox_messages</t>
        </is>
      </c>
      <c r="B331" s="17" t="inlineStr">
        <is>
          <t>id</t>
        </is>
      </c>
      <c r="C331" s="10" t="inlineStr">
        <is>
          <t>bigint</t>
        </is>
      </c>
      <c r="D331" s="16" t="inlineStr">
        <is>
          <t>NOT NULL</t>
        </is>
      </c>
      <c r="E331" s="10" t="inlineStr">
        <is>
          <t>Khóa chính, cũng là thứ tự xử lý</t>
        </is>
      </c>
      <c r="F331" s="10" t="inlineStr">
        <is>
          <t>PK</t>
        </is>
      </c>
      <c r="G331" s="10"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33">
      <c r="A332" s="17" t="inlineStr">
        <is>
          <t>outbox_messages</t>
        </is>
      </c>
      <c r="B332" s="17" t="inlineStr">
        <is>
          <t>event_uuid</t>
        </is>
      </c>
      <c r="C332" s="10" t="inlineStr">
        <is>
          <t>uuid</t>
        </is>
      </c>
      <c r="D332" s="16" t="inlineStr">
        <is>
          <t>NOT NULL</t>
        </is>
      </c>
      <c r="E332" s="10" t="inlineStr">
        <is>
          <t>Khóa idempotent gửi kèm sang reco</t>
        </is>
      </c>
      <c r="F332" s="10" t="inlineStr">
        <is>
          <t>UK</t>
        </is>
      </c>
      <c r="G332" s="10" t="inlineStr">
        <is>
          <t>gen_random_uuid()</t>
        </is>
      </c>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33">
      <c r="A333" s="17" t="inlineStr">
        <is>
          <t>outbox_messages</t>
        </is>
      </c>
      <c r="B333" s="17" t="inlineStr">
        <is>
          <t>event_type</t>
        </is>
      </c>
      <c r="C333" s="10" t="inlineStr">
        <is>
          <t>character varying(30)</t>
        </is>
      </c>
      <c r="D333" s="16" t="inlineStr">
        <is>
          <t>NOT NULL</t>
        </is>
      </c>
      <c r="E333" s="10" t="inlineStr">
        <is>
          <t>DISH_UPSERTED, DISH_DEACTIVATED, FEEDBACK_CREATED</t>
        </is>
      </c>
      <c r="F333" s="10" t="n"/>
      <c r="G333" s="10"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33">
      <c r="A334" s="17" t="inlineStr">
        <is>
          <t>outbox_messages</t>
        </is>
      </c>
      <c r="B334" s="17" t="inlineStr">
        <is>
          <t>aggregate_key</t>
        </is>
      </c>
      <c r="C334" s="10" t="inlineStr">
        <is>
          <t>character varying(60)</t>
        </is>
      </c>
      <c r="D334" s="16" t="inlineStr">
        <is>
          <t>NOT NULL</t>
        </is>
      </c>
      <c r="E334" s="10" t="inlineStr">
        <is>
          <t>Khóa thứ tự: dish:&lt;id&gt; (sự kiện món) hoặc user:&lt;id&gt; (feedback); cùng key xử lý tuần tự</t>
        </is>
      </c>
      <c r="F334" s="10" t="n"/>
      <c r="G334" s="10"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33">
      <c r="A335" s="17" t="inlineStr">
        <is>
          <t>outbox_messages</t>
        </is>
      </c>
      <c r="B335" s="17" t="inlineStr">
        <is>
          <t>payload</t>
        </is>
      </c>
      <c r="C335" s="10" t="inlineStr">
        <is>
          <t>jsonb</t>
        </is>
      </c>
      <c r="D335" s="16" t="inlineStr">
        <is>
          <t>NOT NULL</t>
        </is>
      </c>
      <c r="E335" s="10" t="inlineStr">
        <is>
          <t>Dữ liệu gửi sang reco (JSON)</t>
        </is>
      </c>
      <c r="F335" s="10" t="n"/>
      <c r="G335" s="10"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33">
      <c r="A336" s="17" t="inlineStr">
        <is>
          <t>outbox_messages</t>
        </is>
      </c>
      <c r="B336" s="17" t="inlineStr">
        <is>
          <t>status</t>
        </is>
      </c>
      <c r="C336" s="10" t="inlineStr">
        <is>
          <t>character varying(12)</t>
        </is>
      </c>
      <c r="D336" s="16" t="inlineStr">
        <is>
          <t>NOT NULL</t>
        </is>
      </c>
      <c r="E336" s="10" t="inlineStr">
        <is>
          <t>pending, processing, done, dead</t>
        </is>
      </c>
      <c r="F336" s="10" t="n"/>
      <c r="G336" s="10" t="inlineStr">
        <is>
          <t>"pending"</t>
        </is>
      </c>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33">
      <c r="A337" s="17" t="inlineStr">
        <is>
          <t>outbox_messages</t>
        </is>
      </c>
      <c r="B337" s="17" t="inlineStr">
        <is>
          <t>attempt_count</t>
        </is>
      </c>
      <c r="C337" s="10" t="inlineStr">
        <is>
          <t>smallint</t>
        </is>
      </c>
      <c r="D337" s="16" t="inlineStr">
        <is>
          <t>NOT NULL</t>
        </is>
      </c>
      <c r="E337" s="10" t="inlineStr">
        <is>
          <t>Số lần đã thử gửi</t>
        </is>
      </c>
      <c r="F337" s="10" t="n"/>
      <c r="G337" s="10" t="inlineStr">
        <is>
          <t>0</t>
        </is>
      </c>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33">
      <c r="A338" s="17" t="inlineStr">
        <is>
          <t>outbox_messages</t>
        </is>
      </c>
      <c r="B338" s="17" t="inlineStr">
        <is>
          <t>next_attempt_at</t>
        </is>
      </c>
      <c r="C338" s="10" t="inlineStr">
        <is>
          <t>timestamp with time zone</t>
        </is>
      </c>
      <c r="D338" s="16" t="inlineStr">
        <is>
          <t>NOT NULL</t>
        </is>
      </c>
      <c r="E338" s="10" t="inlineStr">
        <is>
          <t>Thời điểm được thử lại (backoff)</t>
        </is>
      </c>
      <c r="F338" s="10" t="n"/>
      <c r="G338" s="10" t="inlineStr">
        <is>
          <t>now()</t>
        </is>
      </c>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33">
      <c r="A339" s="17" t="inlineStr">
        <is>
          <t>outbox_messages</t>
        </is>
      </c>
      <c r="B339" s="17" t="inlineStr">
        <is>
          <t>locked_until</t>
        </is>
      </c>
      <c r="C339" s="10" t="inlineStr">
        <is>
          <t>timestamp with time zone</t>
        </is>
      </c>
      <c r="D339" s="10" t="inlineStr">
        <is>
          <t>NULL</t>
        </is>
      </c>
      <c r="E339" s="10" t="inlineStr">
        <is>
          <t>Hết hạn mà chưa xong =&gt; worker khác được lấy lại</t>
        </is>
      </c>
      <c r="F339" s="10" t="n"/>
      <c r="G339" s="10"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33">
      <c r="A340" s="17" t="inlineStr">
        <is>
          <t>outbox_messages</t>
        </is>
      </c>
      <c r="B340" s="17" t="inlineStr">
        <is>
          <t>last_error</t>
        </is>
      </c>
      <c r="C340" s="10" t="inlineStr">
        <is>
          <t>text</t>
        </is>
      </c>
      <c r="D340" s="10" t="inlineStr">
        <is>
          <t>NULL</t>
        </is>
      </c>
      <c r="E340" s="10" t="inlineStr">
        <is>
          <t>Lỗi lần gửi gần nhất</t>
        </is>
      </c>
      <c r="F340" s="10" t="n"/>
      <c r="G340" s="10"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33">
      <c r="A341" s="17" t="inlineStr">
        <is>
          <t>outbox_messages</t>
        </is>
      </c>
      <c r="B341" s="17" t="inlineStr">
        <is>
          <t>created_at</t>
        </is>
      </c>
      <c r="C341" s="10" t="inlineStr">
        <is>
          <t>timestamp with time zone</t>
        </is>
      </c>
      <c r="D341" s="16" t="inlineStr">
        <is>
          <t>NOT NULL</t>
        </is>
      </c>
      <c r="E341" s="10" t="inlineStr">
        <is>
          <t>Thời điểm tạo</t>
        </is>
      </c>
      <c r="F341" s="10" t="n"/>
      <c r="G341" s="10" t="inlineStr">
        <is>
          <t>now()</t>
        </is>
      </c>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33">
      <c r="A342" s="17" t="inlineStr">
        <is>
          <t>outbox_messages</t>
        </is>
      </c>
      <c r="B342" s="17" t="inlineStr">
        <is>
          <t>processed_at</t>
        </is>
      </c>
      <c r="C342" s="10" t="inlineStr">
        <is>
          <t>timestamp with time zone</t>
        </is>
      </c>
      <c r="D342" s="10" t="inlineStr">
        <is>
          <t>NULL</t>
        </is>
      </c>
      <c r="E342" s="10" t="inlineStr">
        <is>
          <t>Thời điểm gửi thành công</t>
        </is>
      </c>
      <c r="F342" s="10" t="n"/>
      <c r="G342" s="10"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32" customHeight="1" s="33">
      <c r="A343" s="34" t="inlineStr">
        <is>
          <t xml:space="preserve">agent_conversations  —  Bộ nhớ ngắn hạn và lease xử lý; hết hạn sau 7 ngày không hoạt động.</t>
        </is>
      </c>
      <c r="H343" s="15"/>
      <c r="I343" s="15"/>
      <c r="J343" s="15"/>
      <c r="K343" s="15"/>
      <c r="L343" s="15"/>
      <c r="M343" s="15"/>
      <c r="N343" s="15"/>
      <c r="O343" s="15"/>
      <c r="P343" s="15"/>
      <c r="Q343" s="15"/>
      <c r="R343" s="15"/>
      <c r="S343" s="15"/>
      <c r="T343" s="15"/>
      <c r="U343" s="15"/>
      <c r="V343" s="15"/>
      <c r="W343" s="15"/>
      <c r="X343" s="15"/>
      <c r="Y343" s="15"/>
      <c r="Z343" s="15"/>
    </row>
    <row r="344" ht="32" customHeight="1" s="33">
      <c r="A344" s="17" t="inlineStr">
        <is>
          <t xml:space="preserve">agent_conversations</t>
        </is>
      </c>
      <c r="B344" s="17" t="inlineStr">
        <is>
          <t xml:space="preserve">id</t>
        </is>
      </c>
      <c r="C344" s="10" t="inlineStr">
        <is>
          <t xml:space="preserve">bigint</t>
        </is>
      </c>
      <c r="D344" s="16" t="inlineStr">
        <is>
          <t xml:space="preserve">NOT NULL</t>
        </is>
      </c>
      <c r="E344" s="10" t="inlineStr">
        <is>
          <t xml:space="preserve">Identity key</t>
        </is>
      </c>
      <c r="F344" s="10" t="inlineStr">
        <is>
          <t xml:space="preserve">PK</t>
        </is>
      </c>
      <c r="G344" s="10"/>
      <c r="H344" s="7"/>
      <c r="I344" s="7"/>
      <c r="J344" s="7"/>
      <c r="K344" s="7"/>
      <c r="L344" s="7"/>
      <c r="M344" s="7"/>
      <c r="N344" s="7"/>
      <c r="O344" s="7"/>
      <c r="P344" s="7"/>
      <c r="Q344" s="7"/>
      <c r="R344" s="7"/>
      <c r="S344" s="7"/>
      <c r="T344" s="7"/>
      <c r="U344" s="7"/>
      <c r="V344" s="7"/>
      <c r="W344" s="7"/>
      <c r="X344" s="7"/>
      <c r="Y344" s="7"/>
      <c r="Z344" s="7"/>
    </row>
    <row r="345" ht="32" customHeight="1" s="33">
      <c r="A345" s="17" t="inlineStr">
        <is>
          <t xml:space="preserve">agent_conversations</t>
        </is>
      </c>
      <c r="B345" s="17" t="inlineStr">
        <is>
          <t xml:space="preserve">user_id</t>
        </is>
      </c>
      <c r="C345" s="10" t="inlineStr">
        <is>
          <t xml:space="preserve">integer</t>
        </is>
      </c>
      <c r="D345" s="16" t="inlineStr">
        <is>
          <t xml:space="preserve">NOT NULL</t>
        </is>
      </c>
      <c r="E345" s="10" t="inlineStr">
        <is>
          <t xml:space="preserve">Owner</t>
        </is>
      </c>
      <c r="F345" s="10" t="inlineStr">
        <is>
          <t xml:space="preserve">FK -&gt; users</t>
        </is>
      </c>
      <c r="G345" s="10"/>
      <c r="H345" s="7"/>
      <c r="I345" s="7"/>
      <c r="J345" s="7"/>
      <c r="K345" s="7"/>
      <c r="L345" s="7"/>
      <c r="M345" s="7"/>
      <c r="N345" s="7"/>
      <c r="O345" s="7"/>
      <c r="P345" s="7"/>
      <c r="Q345" s="7"/>
      <c r="R345" s="7"/>
      <c r="S345" s="7"/>
      <c r="T345" s="7"/>
      <c r="U345" s="7"/>
      <c r="V345" s="7"/>
      <c r="W345" s="7"/>
      <c r="X345" s="7"/>
      <c r="Y345" s="7"/>
      <c r="Z345" s="7"/>
    </row>
    <row r="346" ht="32" customHeight="1" s="33">
      <c r="A346" s="17" t="inlineStr">
        <is>
          <t xml:space="preserve">agent_conversations</t>
        </is>
      </c>
      <c r="B346" s="17" t="inlineStr">
        <is>
          <t xml:space="preserve">roadmap_id</t>
        </is>
      </c>
      <c r="C346" s="10" t="inlineStr">
        <is>
          <t xml:space="preserve">bigint</t>
        </is>
      </c>
      <c r="D346" s="16" t="inlineStr">
        <is>
          <t xml:space="preserve">NULL</t>
        </is>
      </c>
      <c r="E346" s="10" t="inlineStr">
        <is>
          <t xml:space="preserve">Optional saved roadmap</t>
        </is>
      </c>
      <c r="F346" s="10" t="inlineStr">
        <is>
          <t xml:space="preserve">FK -&gt; roadmaps; RESTRICT</t>
        </is>
      </c>
      <c r="G346" s="10"/>
      <c r="H346" s="7"/>
      <c r="I346" s="7"/>
      <c r="J346" s="7"/>
      <c r="K346" s="7"/>
      <c r="L346" s="7"/>
      <c r="M346" s="7"/>
      <c r="N346" s="7"/>
      <c r="O346" s="7"/>
      <c r="P346" s="7"/>
      <c r="Q346" s="7"/>
      <c r="R346" s="7"/>
      <c r="S346" s="7"/>
      <c r="T346" s="7"/>
      <c r="U346" s="7"/>
      <c r="V346" s="7"/>
      <c r="W346" s="7"/>
      <c r="X346" s="7"/>
      <c r="Y346" s="7"/>
      <c r="Z346" s="7"/>
    </row>
    <row r="347" ht="32" customHeight="1" s="33">
      <c r="A347" s="17" t="inlineStr">
        <is>
          <t xml:space="preserve">agent_conversations</t>
        </is>
      </c>
      <c r="B347" s="17" t="inlineStr">
        <is>
          <t xml:space="preserve">status</t>
        </is>
      </c>
      <c r="C347" s="10" t="inlineStr">
        <is>
          <t xml:space="preserve">varchar(16)</t>
        </is>
      </c>
      <c r="D347" s="16" t="inlineStr">
        <is>
          <t xml:space="preserve">NOT NULL</t>
        </is>
      </c>
      <c r="E347" s="10" t="inlineStr">
        <is>
          <t xml:space="preserve">active / closed / expired</t>
        </is>
      </c>
      <c r="F347" s="10" t="inlineStr">
        <is>
          <t xml:space="preserve">CHECK</t>
        </is>
      </c>
      <c r="G347" s="10"/>
      <c r="H347" s="7"/>
      <c r="I347" s="7"/>
      <c r="J347" s="7"/>
      <c r="K347" s="7"/>
      <c r="L347" s="7"/>
      <c r="M347" s="7"/>
      <c r="N347" s="7"/>
      <c r="O347" s="7"/>
      <c r="P347" s="7"/>
      <c r="Q347" s="7"/>
      <c r="R347" s="7"/>
      <c r="S347" s="7"/>
      <c r="T347" s="7"/>
      <c r="U347" s="7"/>
      <c r="V347" s="7"/>
      <c r="W347" s="7"/>
      <c r="X347" s="7"/>
      <c r="Y347" s="7"/>
      <c r="Z347" s="7"/>
    </row>
    <row r="348" ht="32" customHeight="1" s="33">
      <c r="A348" s="17" t="inlineStr">
        <is>
          <t xml:space="preserve">agent_conversations</t>
        </is>
      </c>
      <c r="B348" s="17" t="inlineStr">
        <is>
          <t xml:space="preserve">state</t>
        </is>
      </c>
      <c r="C348" s="10" t="inlineStr">
        <is>
          <t xml:space="preserve">jsonb</t>
        </is>
      </c>
      <c r="D348" s="16" t="inlineStr">
        <is>
          <t xml:space="preserve">NOT NULL</t>
        </is>
      </c>
      <c r="E348" s="10" t="inlineStr">
        <is>
          <t xml:space="preserve">Versioned structured short-term state</t>
        </is>
      </c>
      <c r="F348" s="10"/>
      <c r="G348" s="10"/>
      <c r="H348" s="7"/>
      <c r="I348" s="7"/>
      <c r="J348" s="7"/>
      <c r="K348" s="7"/>
      <c r="L348" s="7"/>
      <c r="M348" s="7"/>
      <c r="N348" s="7"/>
      <c r="O348" s="7"/>
      <c r="P348" s="7"/>
      <c r="Q348" s="7"/>
      <c r="R348" s="7"/>
      <c r="S348" s="7"/>
      <c r="T348" s="7"/>
      <c r="U348" s="7"/>
      <c r="V348" s="7"/>
      <c r="W348" s="7"/>
      <c r="X348" s="7"/>
      <c r="Y348" s="7"/>
      <c r="Z348" s="7"/>
    </row>
    <row r="349" ht="32" customHeight="1" s="33">
      <c r="A349" s="17" t="inlineStr">
        <is>
          <t xml:space="preserve">agent_conversations</t>
        </is>
      </c>
      <c r="B349" s="17" t="inlineStr">
        <is>
          <t xml:space="preserve">current_proposal_id</t>
        </is>
      </c>
      <c r="C349" s="10" t="inlineStr">
        <is>
          <t xml:space="preserve">bigint</t>
        </is>
      </c>
      <c r="D349" s="16" t="inlineStr">
        <is>
          <t xml:space="preserve">NULL</t>
        </is>
      </c>
      <c r="E349" s="10" t="inlineStr">
        <is>
          <t xml:space="preserve">Current immutable proposal belonging to same conversation</t>
        </is>
      </c>
      <c r="F349" s="10" t="inlineStr">
        <is>
          <t xml:space="preserve">Composite FK (id,current_proposal_id) -&gt; agent_proposals(conversation_id,id); RESTRICT</t>
        </is>
      </c>
      <c r="G349" s="10"/>
      <c r="H349" s="7"/>
      <c r="I349" s="7"/>
      <c r="J349" s="7"/>
      <c r="K349" s="7"/>
      <c r="L349" s="7"/>
      <c r="M349" s="7"/>
      <c r="N349" s="7"/>
      <c r="O349" s="7"/>
      <c r="P349" s="7"/>
      <c r="Q349" s="7"/>
      <c r="R349" s="7"/>
      <c r="S349" s="7"/>
      <c r="T349" s="7"/>
      <c r="U349" s="7"/>
      <c r="V349" s="7"/>
      <c r="W349" s="7"/>
      <c r="X349" s="7"/>
      <c r="Y349" s="7"/>
      <c r="Z349" s="7"/>
    </row>
    <row r="350" ht="32" customHeight="1" s="33">
      <c r="A350" s="17" t="inlineStr">
        <is>
          <t xml:space="preserve">agent_conversations</t>
        </is>
      </c>
      <c r="B350" s="17" t="inlineStr">
        <is>
          <t xml:space="preserve">version</t>
        </is>
      </c>
      <c r="C350" s="10" t="inlineStr">
        <is>
          <t xml:space="preserve">bigint</t>
        </is>
      </c>
      <c r="D350" s="16" t="inlineStr">
        <is>
          <t xml:space="preserve">NOT NULL</t>
        </is>
      </c>
      <c r="E350" s="10" t="inlineStr">
        <is>
          <t xml:space="preserve">Optimistic revision</t>
        </is>
      </c>
      <c r="F350" s="10" t="inlineStr">
        <is>
          <t xml:space="preserve">CHECK &gt; 0</t>
        </is>
      </c>
      <c r="G350" s="10" t="inlineStr">
        <is>
          <t xml:space="preserve">1</t>
        </is>
      </c>
      <c r="H350" s="7"/>
      <c r="I350" s="7"/>
      <c r="J350" s="7"/>
      <c r="K350" s="7"/>
      <c r="L350" s="7"/>
      <c r="M350" s="7"/>
      <c r="N350" s="7"/>
      <c r="O350" s="7"/>
      <c r="P350" s="7"/>
      <c r="Q350" s="7"/>
      <c r="R350" s="7"/>
      <c r="S350" s="7"/>
      <c r="T350" s="7"/>
      <c r="U350" s="7"/>
      <c r="V350" s="7"/>
      <c r="W350" s="7"/>
      <c r="X350" s="7"/>
      <c r="Y350" s="7"/>
      <c r="Z350" s="7"/>
    </row>
    <row r="351" ht="32" customHeight="1" s="33">
      <c r="A351" s="17" t="inlineStr">
        <is>
          <t xml:space="preserve">agent_conversations</t>
        </is>
      </c>
      <c r="B351" s="17" t="inlineStr">
        <is>
          <t xml:space="preserve">processing_turn_id</t>
        </is>
      </c>
      <c r="C351" s="10" t="inlineStr">
        <is>
          <t xml:space="preserve">bigint</t>
        </is>
      </c>
      <c r="D351" s="16" t="inlineStr">
        <is>
          <t xml:space="preserve">NULL</t>
        </is>
      </c>
      <c r="E351" s="10" t="inlineStr">
        <is>
          <t xml:space="preserve">sequence_no của user message đang xử lý; ba trường lease cùng NULL hoặc cùng có giá trị.</t>
        </is>
      </c>
      <c r="F351" s="10"/>
      <c r="G351" s="10"/>
      <c r="H351" s="7"/>
      <c r="I351" s="7"/>
      <c r="J351" s="7"/>
      <c r="K351" s="7"/>
      <c r="L351" s="7"/>
      <c r="M351" s="7"/>
      <c r="N351" s="7"/>
      <c r="O351" s="7"/>
      <c r="P351" s="7"/>
      <c r="Q351" s="7"/>
      <c r="R351" s="7"/>
      <c r="S351" s="7"/>
      <c r="T351" s="7"/>
      <c r="U351" s="7"/>
      <c r="V351" s="7"/>
      <c r="W351" s="7"/>
      <c r="X351" s="7"/>
      <c r="Y351" s="7"/>
      <c r="Z351" s="7"/>
    </row>
    <row r="352" ht="32" customHeight="1" s="33">
      <c r="A352" s="17" t="inlineStr">
        <is>
          <t xml:space="preserve">agent_conversations</t>
        </is>
      </c>
      <c r="B352" s="17" t="inlineStr">
        <is>
          <t xml:space="preserve">processing_attempt_id</t>
        </is>
      </c>
      <c r="C352" s="10" t="inlineStr">
        <is>
          <t xml:space="preserve">bigint</t>
        </is>
      </c>
      <c r="D352" s="16" t="inlineStr">
        <is>
          <t xml:space="preserve">NULL</t>
        </is>
      </c>
      <c r="E352" s="10" t="inlineStr">
        <is>
          <t xml:space="preserve">Version conversation tại claim, tăng dưới khóa; worker cũ không ghi được sau takeover.</t>
        </is>
      </c>
      <c r="F352" s="10"/>
      <c r="G352" s="10"/>
      <c r="H352" s="7"/>
      <c r="I352" s="7"/>
      <c r="J352" s="7"/>
      <c r="K352" s="7"/>
      <c r="L352" s="7"/>
      <c r="M352" s="7"/>
      <c r="N352" s="7"/>
      <c r="O352" s="7"/>
      <c r="P352" s="7"/>
      <c r="Q352" s="7"/>
      <c r="R352" s="7"/>
      <c r="S352" s="7"/>
      <c r="T352" s="7"/>
      <c r="U352" s="7"/>
      <c r="V352" s="7"/>
      <c r="W352" s="7"/>
      <c r="X352" s="7"/>
      <c r="Y352" s="7"/>
      <c r="Z352" s="7"/>
    </row>
    <row r="353" ht="32" customHeight="1" s="33">
      <c r="A353" s="17" t="inlineStr">
        <is>
          <t xml:space="preserve">agent_conversations</t>
        </is>
      </c>
      <c r="B353" s="17" t="inlineStr">
        <is>
          <t xml:space="preserve">processing_until</t>
        </is>
      </c>
      <c r="C353" s="10" t="inlineStr">
        <is>
          <t xml:space="preserve">timestamptz</t>
        </is>
      </c>
      <c r="D353" s="16" t="inlineStr">
        <is>
          <t xml:space="preserve">NULL</t>
        </is>
      </c>
      <c r="E353" s="10" t="inlineStr">
        <is>
          <t xml:space="preserve">Lease deadline; three lease fields all NULL or all present</t>
        </is>
      </c>
      <c r="F353" s="10" t="inlineStr">
        <is>
          <t xml:space="preserve">CHECK</t>
        </is>
      </c>
      <c r="G353" s="10"/>
      <c r="H353" s="7"/>
      <c r="I353" s="7"/>
      <c r="J353" s="7"/>
      <c r="K353" s="7"/>
      <c r="L353" s="7"/>
      <c r="M353" s="7"/>
      <c r="N353" s="7"/>
      <c r="O353" s="7"/>
      <c r="P353" s="7"/>
      <c r="Q353" s="7"/>
      <c r="R353" s="7"/>
      <c r="S353" s="7"/>
      <c r="T353" s="7"/>
      <c r="U353" s="7"/>
      <c r="V353" s="7"/>
      <c r="W353" s="7"/>
      <c r="X353" s="7"/>
      <c r="Y353" s="7"/>
      <c r="Z353" s="7"/>
    </row>
    <row r="354" ht="32" customHeight="1" s="33">
      <c r="A354" s="17" t="inlineStr">
        <is>
          <t xml:space="preserve">agent_conversations</t>
        </is>
      </c>
      <c r="B354" s="17" t="inlineStr">
        <is>
          <t xml:space="preserve">created_at</t>
        </is>
      </c>
      <c r="C354" s="10" t="inlineStr">
        <is>
          <t xml:space="preserve">timestamptz</t>
        </is>
      </c>
      <c r="D354" s="16" t="inlineStr">
        <is>
          <t xml:space="preserve">NOT NULL</t>
        </is>
      </c>
      <c r="E354" s="10" t="inlineStr">
        <is>
          <t xml:space="preserve">Creation time</t>
        </is>
      </c>
      <c r="F354" s="10"/>
      <c r="G354" s="10" t="inlineStr">
        <is>
          <t xml:space="preserve">now()</t>
        </is>
      </c>
      <c r="H354" s="7"/>
      <c r="I354" s="7"/>
      <c r="J354" s="7"/>
      <c r="K354" s="7"/>
      <c r="L354" s="7"/>
      <c r="M354" s="7"/>
      <c r="N354" s="7"/>
      <c r="O354" s="7"/>
      <c r="P354" s="7"/>
      <c r="Q354" s="7"/>
      <c r="R354" s="7"/>
      <c r="S354" s="7"/>
      <c r="T354" s="7"/>
      <c r="U354" s="7"/>
      <c r="V354" s="7"/>
      <c r="W354" s="7"/>
      <c r="X354" s="7"/>
      <c r="Y354" s="7"/>
      <c r="Z354" s="7"/>
    </row>
    <row r="355" ht="32" customHeight="1" s="33">
      <c r="A355" s="17" t="inlineStr">
        <is>
          <t xml:space="preserve">agent_conversations</t>
        </is>
      </c>
      <c r="B355" s="17" t="inlineStr">
        <is>
          <t xml:space="preserve">updated_at</t>
        </is>
      </c>
      <c r="C355" s="10" t="inlineStr">
        <is>
          <t xml:space="preserve">timestamptz</t>
        </is>
      </c>
      <c r="D355" s="16" t="inlineStr">
        <is>
          <t xml:space="preserve">NOT NULL</t>
        </is>
      </c>
      <c r="E355" s="10" t="inlineStr">
        <is>
          <t xml:space="preserve">Last business activity</t>
        </is>
      </c>
      <c r="F355" s="10"/>
      <c r="G355" s="10" t="inlineStr">
        <is>
          <t xml:space="preserve">now()</t>
        </is>
      </c>
      <c r="H355" s="7"/>
      <c r="I355" s="7"/>
      <c r="J355" s="7"/>
      <c r="K355" s="7"/>
      <c r="L355" s="7"/>
      <c r="M355" s="7"/>
      <c r="N355" s="7"/>
      <c r="O355" s="7"/>
      <c r="P355" s="7"/>
      <c r="Q355" s="7"/>
      <c r="R355" s="7"/>
      <c r="S355" s="7"/>
      <c r="T355" s="7"/>
      <c r="U355" s="7"/>
      <c r="V355" s="7"/>
      <c r="W355" s="7"/>
      <c r="X355" s="7"/>
      <c r="Y355" s="7"/>
      <c r="Z355" s="7"/>
    </row>
    <row r="356" ht="32" customHeight="1" s="33">
      <c r="A356" s="17" t="inlineStr">
        <is>
          <t xml:space="preserve">agent_conversations</t>
        </is>
      </c>
      <c r="B356" s="17" t="inlineStr">
        <is>
          <t xml:space="preserve">expires_at</t>
        </is>
      </c>
      <c r="C356" s="10" t="inlineStr">
        <is>
          <t xml:space="preserve">timestamptz</t>
        </is>
      </c>
      <c r="D356" s="16" t="inlineStr">
        <is>
          <t xml:space="preserve">NOT NULL</t>
        </is>
      </c>
      <c r="E356" s="10" t="inlineStr">
        <is>
          <t xml:space="preserve">Idle expiry</t>
        </is>
      </c>
      <c r="F356" s="10"/>
      <c r="G356" s="10"/>
      <c r="H356" s="7"/>
      <c r="I356" s="7"/>
      <c r="J356" s="7"/>
      <c r="K356" s="7"/>
      <c r="L356" s="7"/>
      <c r="M356" s="7"/>
      <c r="N356" s="7"/>
      <c r="O356" s="7"/>
      <c r="P356" s="7"/>
      <c r="Q356" s="7"/>
      <c r="R356" s="7"/>
      <c r="S356" s="7"/>
      <c r="T356" s="7"/>
      <c r="U356" s="7"/>
      <c r="V356" s="7"/>
      <c r="W356" s="7"/>
      <c r="X356" s="7"/>
      <c r="Y356" s="7"/>
      <c r="Z356" s="7"/>
    </row>
    <row r="357" ht="32" customHeight="1" s="33">
      <c r="A357" s="34" t="inlineStr">
        <is>
          <t xml:space="preserve">agent_messages  —  Lịch sử theo thứ tự; chống retry trùng theo conversation/client_message_id.</t>
        </is>
      </c>
      <c r="H357" s="15"/>
      <c r="I357" s="15"/>
      <c r="J357" s="15"/>
      <c r="K357" s="15"/>
      <c r="L357" s="15"/>
      <c r="M357" s="15"/>
      <c r="N357" s="15"/>
      <c r="O357" s="15"/>
      <c r="P357" s="15"/>
      <c r="Q357" s="15"/>
      <c r="R357" s="15"/>
      <c r="S357" s="15"/>
      <c r="T357" s="15"/>
      <c r="U357" s="15"/>
      <c r="V357" s="15"/>
      <c r="W357" s="15"/>
      <c r="X357" s="15"/>
      <c r="Y357" s="15"/>
      <c r="Z357" s="15"/>
    </row>
    <row r="358" ht="32" customHeight="1" s="33">
      <c r="A358" s="17" t="inlineStr">
        <is>
          <t xml:space="preserve">agent_messages</t>
        </is>
      </c>
      <c r="B358" s="17" t="inlineStr">
        <is>
          <t xml:space="preserve">id</t>
        </is>
      </c>
      <c r="C358" s="10" t="inlineStr">
        <is>
          <t xml:space="preserve">bigint</t>
        </is>
      </c>
      <c r="D358" s="16" t="inlineStr">
        <is>
          <t xml:space="preserve">NOT NULL</t>
        </is>
      </c>
      <c r="E358" s="10" t="inlineStr">
        <is>
          <t xml:space="preserve">Identity key</t>
        </is>
      </c>
      <c r="F358" s="10" t="inlineStr">
        <is>
          <t xml:space="preserve">PK</t>
        </is>
      </c>
      <c r="G358" s="10"/>
      <c r="H358" s="7"/>
      <c r="I358" s="7"/>
      <c r="J358" s="7"/>
      <c r="K358" s="7"/>
      <c r="L358" s="7"/>
      <c r="M358" s="7"/>
      <c r="N358" s="7"/>
      <c r="O358" s="7"/>
      <c r="P358" s="7"/>
      <c r="Q358" s="7"/>
      <c r="R358" s="7"/>
      <c r="S358" s="7"/>
      <c r="T358" s="7"/>
      <c r="U358" s="7"/>
      <c r="V358" s="7"/>
      <c r="W358" s="7"/>
      <c r="X358" s="7"/>
      <c r="Y358" s="7"/>
      <c r="Z358" s="7"/>
    </row>
    <row r="359" ht="32" customHeight="1" s="33">
      <c r="A359" s="17" t="inlineStr">
        <is>
          <t xml:space="preserve">agent_messages</t>
        </is>
      </c>
      <c r="B359" s="17" t="inlineStr">
        <is>
          <t xml:space="preserve">conversation_id</t>
        </is>
      </c>
      <c r="C359" s="10" t="inlineStr">
        <is>
          <t xml:space="preserve">bigint</t>
        </is>
      </c>
      <c r="D359" s="16" t="inlineStr">
        <is>
          <t xml:space="preserve">NOT NULL</t>
        </is>
      </c>
      <c r="E359" s="10" t="inlineStr">
        <is>
          <t xml:space="preserve">Owning conversation</t>
        </is>
      </c>
      <c r="F359" s="10" t="inlineStr">
        <is>
          <t xml:space="preserve">FK -&gt; agent_conversations; CASCADE</t>
        </is>
      </c>
      <c r="G359" s="10"/>
      <c r="H359" s="7"/>
      <c r="I359" s="7"/>
      <c r="J359" s="7"/>
      <c r="K359" s="7"/>
      <c r="L359" s="7"/>
      <c r="M359" s="7"/>
      <c r="N359" s="7"/>
      <c r="O359" s="7"/>
      <c r="P359" s="7"/>
      <c r="Q359" s="7"/>
      <c r="R359" s="7"/>
      <c r="S359" s="7"/>
      <c r="T359" s="7"/>
      <c r="U359" s="7"/>
      <c r="V359" s="7"/>
      <c r="W359" s="7"/>
      <c r="X359" s="7"/>
      <c r="Y359" s="7"/>
      <c r="Z359" s="7"/>
    </row>
    <row r="360" ht="32" customHeight="1" s="33">
      <c r="A360" s="17" t="inlineStr">
        <is>
          <t xml:space="preserve">agent_messages</t>
        </is>
      </c>
      <c r="B360" s="17" t="inlineStr">
        <is>
          <t xml:space="preserve">sequence_no</t>
        </is>
      </c>
      <c r="C360" s="10" t="inlineStr">
        <is>
          <t xml:space="preserve">integer</t>
        </is>
      </c>
      <c r="D360" s="16" t="inlineStr">
        <is>
          <t xml:space="preserve">NOT NULL</t>
        </is>
      </c>
      <c r="E360" s="10" t="inlineStr">
        <is>
          <t xml:space="preserve">Positive transcript order</t>
        </is>
      </c>
      <c r="F360" s="10" t="inlineStr">
        <is>
          <t xml:space="preserve">UNIQUE(conversation_id,sequence_no); CHECK &gt;0</t>
        </is>
      </c>
      <c r="G360" s="10"/>
      <c r="H360" s="7"/>
      <c r="I360" s="7"/>
      <c r="J360" s="7"/>
      <c r="K360" s="7"/>
      <c r="L360" s="7"/>
      <c r="M360" s="7"/>
      <c r="N360" s="7"/>
      <c r="O360" s="7"/>
      <c r="P360" s="7"/>
      <c r="Q360" s="7"/>
      <c r="R360" s="7"/>
      <c r="S360" s="7"/>
      <c r="T360" s="7"/>
      <c r="U360" s="7"/>
      <c r="V360" s="7"/>
      <c r="W360" s="7"/>
      <c r="X360" s="7"/>
      <c r="Y360" s="7"/>
      <c r="Z360" s="7"/>
    </row>
    <row r="361" ht="32" customHeight="1" s="33">
      <c r="A361" s="17" t="inlineStr">
        <is>
          <t xml:space="preserve">agent_messages</t>
        </is>
      </c>
      <c r="B361" s="17" t="inlineStr">
        <is>
          <t xml:space="preserve">turn_id</t>
        </is>
      </c>
      <c r="C361" s="10" t="inlineStr">
        <is>
          <t xml:space="preserve">bigint</t>
        </is>
      </c>
      <c r="D361" s="16" t="inlineStr">
        <is>
          <t xml:space="preserve">NOT NULL</t>
        </is>
      </c>
      <c r="E361" s="10" t="inlineStr">
        <is>
          <t xml:space="preserve">Số sequence_no của user message; nhóm user/assistant/tool trong cùng conversation.</t>
        </is>
      </c>
      <c r="F361" s="10" t="inlineStr">
        <is>
          <t xml:space="preserve">CHECK &gt; 0</t>
        </is>
      </c>
      <c r="G361" s="10"/>
      <c r="H361" s="7"/>
      <c r="I361" s="7"/>
      <c r="J361" s="7"/>
      <c r="K361" s="7"/>
      <c r="L361" s="7"/>
      <c r="M361" s="7"/>
      <c r="N361" s="7"/>
      <c r="O361" s="7"/>
      <c r="P361" s="7"/>
      <c r="Q361" s="7"/>
      <c r="R361" s="7"/>
      <c r="S361" s="7"/>
      <c r="T361" s="7"/>
      <c r="U361" s="7"/>
      <c r="V361" s="7"/>
      <c r="W361" s="7"/>
      <c r="X361" s="7"/>
      <c r="Y361" s="7"/>
      <c r="Z361" s="7"/>
    </row>
    <row r="362" ht="32" customHeight="1" s="33">
      <c r="A362" s="17" t="inlineStr">
        <is>
          <t xml:space="preserve">agent_messages</t>
        </is>
      </c>
      <c r="B362" s="17" t="inlineStr">
        <is>
          <t xml:space="preserve">client_message_id</t>
        </is>
      </c>
      <c r="C362" s="10" t="inlineStr">
        <is>
          <t xml:space="preserve">bigint</t>
        </is>
      </c>
      <c r="D362" s="16" t="inlineStr">
        <is>
          <t xml:space="preserve">NULL</t>
        </is>
      </c>
      <c r="E362" s="10" t="inlineStr">
        <is>
          <t xml:space="preserve">Số nguyên dương frontend cấp, duy nhất trong conversation; retry giữ nguyên.</t>
        </is>
      </c>
      <c r="F362" s="10" t="inlineStr">
        <is>
          <t xml:space="preserve">UNIQUE(conversation_id,client_message_id) WHERE not null; CHECK &gt; 0</t>
        </is>
      </c>
      <c r="G362" s="10"/>
      <c r="H362" s="7"/>
      <c r="I362" s="7"/>
      <c r="J362" s="7"/>
      <c r="K362" s="7"/>
      <c r="L362" s="7"/>
      <c r="M362" s="7"/>
      <c r="N362" s="7"/>
      <c r="O362" s="7"/>
      <c r="P362" s="7"/>
      <c r="Q362" s="7"/>
      <c r="R362" s="7"/>
      <c r="S362" s="7"/>
      <c r="T362" s="7"/>
      <c r="U362" s="7"/>
      <c r="V362" s="7"/>
      <c r="W362" s="7"/>
      <c r="X362" s="7"/>
      <c r="Y362" s="7"/>
      <c r="Z362" s="7"/>
    </row>
    <row r="363" ht="32" customHeight="1" s="33">
      <c r="A363" s="17" t="inlineStr">
        <is>
          <t xml:space="preserve">agent_messages</t>
        </is>
      </c>
      <c r="B363" s="17" t="inlineStr">
        <is>
          <t xml:space="preserve">role</t>
        </is>
      </c>
      <c r="C363" s="10" t="inlineStr">
        <is>
          <t xml:space="preserve">varchar(16)</t>
        </is>
      </c>
      <c r="D363" s="16" t="inlineStr">
        <is>
          <t xml:space="preserve">NOT NULL</t>
        </is>
      </c>
      <c r="E363" s="10" t="inlineStr">
        <is>
          <t xml:space="preserve">user / assistant / tool</t>
        </is>
      </c>
      <c r="F363" s="10" t="inlineStr">
        <is>
          <t xml:space="preserve">CHECK</t>
        </is>
      </c>
      <c r="G363" s="10"/>
      <c r="H363" s="7"/>
      <c r="I363" s="7"/>
      <c r="J363" s="7"/>
      <c r="K363" s="7"/>
      <c r="L363" s="7"/>
      <c r="M363" s="7"/>
      <c r="N363" s="7"/>
      <c r="O363" s="7"/>
      <c r="P363" s="7"/>
      <c r="Q363" s="7"/>
      <c r="R363" s="7"/>
      <c r="S363" s="7"/>
      <c r="T363" s="7"/>
      <c r="U363" s="7"/>
      <c r="V363" s="7"/>
      <c r="W363" s="7"/>
      <c r="X363" s="7"/>
      <c r="Y363" s="7"/>
      <c r="Z363" s="7"/>
    </row>
    <row r="364" ht="32" customHeight="1" s="33">
      <c r="A364" s="17" t="inlineStr">
        <is>
          <t xml:space="preserve">agent_messages</t>
        </is>
      </c>
      <c r="B364" s="17" t="inlineStr">
        <is>
          <t xml:space="preserve">payload</t>
        </is>
      </c>
      <c r="C364" s="10" t="inlineStr">
        <is>
          <t xml:space="preserve">jsonb</t>
        </is>
      </c>
      <c r="D364" s="16" t="inlineStr">
        <is>
          <t xml:space="preserve">NOT NULL</t>
        </is>
      </c>
      <c r="E364" s="10" t="inlineStr">
        <is>
          <t xml:space="preserve">Content and safe tool metadata</t>
        </is>
      </c>
      <c r="F364" s="10"/>
      <c r="G364" s="10"/>
      <c r="H364" s="7"/>
      <c r="I364" s="7"/>
      <c r="J364" s="7"/>
      <c r="K364" s="7"/>
      <c r="L364" s="7"/>
      <c r="M364" s="7"/>
      <c r="N364" s="7"/>
      <c r="O364" s="7"/>
      <c r="P364" s="7"/>
      <c r="Q364" s="7"/>
      <c r="R364" s="7"/>
      <c r="S364" s="7"/>
      <c r="T364" s="7"/>
      <c r="U364" s="7"/>
      <c r="V364" s="7"/>
      <c r="W364" s="7"/>
      <c r="X364" s="7"/>
      <c r="Y364" s="7"/>
      <c r="Z364" s="7"/>
    </row>
    <row r="365" ht="32" customHeight="1" s="33">
      <c r="A365" s="17" t="inlineStr">
        <is>
          <t xml:space="preserve">agent_messages</t>
        </is>
      </c>
      <c r="B365" s="17" t="inlineStr">
        <is>
          <t xml:space="preserve">processing_status</t>
        </is>
      </c>
      <c r="C365" s="10" t="inlineStr">
        <is>
          <t xml:space="preserve">varchar(16)</t>
        </is>
      </c>
      <c r="D365" s="16" t="inlineStr">
        <is>
          <t xml:space="preserve">NULL</t>
        </is>
      </c>
      <c r="E365" s="10" t="inlineStr">
        <is>
          <t xml:space="preserve">processing / completed / failed; user only</t>
        </is>
      </c>
      <c r="F365" s="10" t="inlineStr">
        <is>
          <t xml:space="preserve">CHECK</t>
        </is>
      </c>
      <c r="G365" s="10"/>
      <c r="H365" s="7"/>
      <c r="I365" s="7"/>
      <c r="J365" s="7"/>
      <c r="K365" s="7"/>
      <c r="L365" s="7"/>
      <c r="M365" s="7"/>
      <c r="N365" s="7"/>
      <c r="O365" s="7"/>
      <c r="P365" s="7"/>
      <c r="Q365" s="7"/>
      <c r="R365" s="7"/>
      <c r="S365" s="7"/>
      <c r="T365" s="7"/>
      <c r="U365" s="7"/>
      <c r="V365" s="7"/>
      <c r="W365" s="7"/>
      <c r="X365" s="7"/>
      <c r="Y365" s="7"/>
      <c r="Z365" s="7"/>
    </row>
    <row r="366" ht="32" customHeight="1" s="33">
      <c r="A366" s="17" t="inlineStr">
        <is>
          <t xml:space="preserve">agent_messages</t>
        </is>
      </c>
      <c r="B366" s="17" t="inlineStr">
        <is>
          <t xml:space="preserve">request_hash</t>
        </is>
      </c>
      <c r="C366" s="10" t="inlineStr">
        <is>
          <t xml:space="preserve">varchar(64)</t>
        </is>
      </c>
      <c r="D366" s="16" t="inlineStr">
        <is>
          <t xml:space="preserve">NULL</t>
        </is>
      </c>
      <c r="E366" s="10" t="inlineStr">
        <is>
          <t xml:space="preserve">SHA256 normalized business content; user only</t>
        </is>
      </c>
      <c r="F366" s="10"/>
      <c r="G366" s="10"/>
      <c r="H366" s="7"/>
      <c r="I366" s="7"/>
      <c r="J366" s="7"/>
      <c r="K366" s="7"/>
      <c r="L366" s="7"/>
      <c r="M366" s="7"/>
      <c r="N366" s="7"/>
      <c r="O366" s="7"/>
      <c r="P366" s="7"/>
      <c r="Q366" s="7"/>
      <c r="R366" s="7"/>
      <c r="S366" s="7"/>
      <c r="T366" s="7"/>
      <c r="U366" s="7"/>
      <c r="V366" s="7"/>
      <c r="W366" s="7"/>
      <c r="X366" s="7"/>
      <c r="Y366" s="7"/>
      <c r="Z366" s="7"/>
    </row>
    <row r="367" ht="32" customHeight="1" s="33">
      <c r="A367" s="17" t="inlineStr">
        <is>
          <t xml:space="preserve">agent_messages</t>
        </is>
      </c>
      <c r="B367" s="17" t="inlineStr">
        <is>
          <t xml:space="preserve">response_payload</t>
        </is>
      </c>
      <c r="C367" s="10" t="inlineStr">
        <is>
          <t xml:space="preserve">jsonb</t>
        </is>
      </c>
      <c r="D367" s="16" t="inlineStr">
        <is>
          <t xml:space="preserve">NULL</t>
        </is>
      </c>
      <c r="E367" s="10" t="inlineStr">
        <is>
          <t xml:space="preserve">Completed response for replay</t>
        </is>
      </c>
      <c r="F367" s="10"/>
      <c r="G367" s="10"/>
      <c r="H367" s="7"/>
      <c r="I367" s="7"/>
      <c r="J367" s="7"/>
      <c r="K367" s="7"/>
      <c r="L367" s="7"/>
      <c r="M367" s="7"/>
      <c r="N367" s="7"/>
      <c r="O367" s="7"/>
      <c r="P367" s="7"/>
      <c r="Q367" s="7"/>
      <c r="R367" s="7"/>
      <c r="S367" s="7"/>
      <c r="T367" s="7"/>
      <c r="U367" s="7"/>
      <c r="V367" s="7"/>
      <c r="W367" s="7"/>
      <c r="X367" s="7"/>
      <c r="Y367" s="7"/>
      <c r="Z367" s="7"/>
    </row>
    <row r="368" ht="32" customHeight="1" s="33">
      <c r="A368" s="17" t="inlineStr">
        <is>
          <t xml:space="preserve">agent_messages</t>
        </is>
      </c>
      <c r="B368" s="17" t="inlineStr">
        <is>
          <t xml:space="preserve">created_at</t>
        </is>
      </c>
      <c r="C368" s="10" t="inlineStr">
        <is>
          <t xml:space="preserve">timestamptz</t>
        </is>
      </c>
      <c r="D368" s="16" t="inlineStr">
        <is>
          <t xml:space="preserve">NOT NULL</t>
        </is>
      </c>
      <c r="E368" s="10" t="inlineStr">
        <is>
          <t xml:space="preserve">Creation time</t>
        </is>
      </c>
      <c r="F368" s="10"/>
      <c r="G368" s="10" t="inlineStr">
        <is>
          <t xml:space="preserve">now()</t>
        </is>
      </c>
      <c r="H368" s="7"/>
      <c r="I368" s="7"/>
      <c r="J368" s="7"/>
      <c r="K368" s="7"/>
      <c r="L368" s="7"/>
      <c r="M368" s="7"/>
      <c r="N368" s="7"/>
      <c r="O368" s="7"/>
      <c r="P368" s="7"/>
      <c r="Q368" s="7"/>
      <c r="R368" s="7"/>
      <c r="S368" s="7"/>
      <c r="T368" s="7"/>
      <c r="U368" s="7"/>
      <c r="V368" s="7"/>
      <c r="W368" s="7"/>
      <c r="X368" s="7"/>
      <c r="Y368" s="7"/>
      <c r="Z368" s="7"/>
    </row>
    <row r="369" ht="32" customHeight="1" s="33">
      <c r="A369" s="34" t="inlineStr">
        <is>
          <t xml:space="preserve">agent_proposals  —  Snapshot bất biến; confirm một lần, dọn sau 30 ngày không hoạt động.</t>
        </is>
      </c>
      <c r="H369" s="15"/>
      <c r="I369" s="15"/>
      <c r="J369" s="15"/>
      <c r="K369" s="15"/>
      <c r="L369" s="15"/>
      <c r="M369" s="15"/>
      <c r="N369" s="15"/>
      <c r="O369" s="15"/>
      <c r="P369" s="15"/>
      <c r="Q369" s="15"/>
      <c r="R369" s="15"/>
      <c r="S369" s="15"/>
      <c r="T369" s="15"/>
      <c r="U369" s="15"/>
      <c r="V369" s="15"/>
      <c r="W369" s="15"/>
      <c r="X369" s="15"/>
      <c r="Y369" s="15"/>
      <c r="Z369" s="15"/>
    </row>
    <row r="370" ht="32" customHeight="1" s="33">
      <c r="A370" s="17" t="inlineStr">
        <is>
          <t xml:space="preserve">agent_proposals</t>
        </is>
      </c>
      <c r="B370" s="17" t="inlineStr">
        <is>
          <t xml:space="preserve">id</t>
        </is>
      </c>
      <c r="C370" s="10" t="inlineStr">
        <is>
          <t xml:space="preserve">bigint</t>
        </is>
      </c>
      <c r="D370" s="16" t="inlineStr">
        <is>
          <t xml:space="preserve">NOT NULL</t>
        </is>
      </c>
      <c r="E370" s="10" t="inlineStr">
        <is>
          <t xml:space="preserve">Identity key</t>
        </is>
      </c>
      <c r="F370" s="10" t="inlineStr">
        <is>
          <t xml:space="preserve">PK; UNIQUE(conversation_id,id)</t>
        </is>
      </c>
      <c r="G370" s="10"/>
      <c r="H370" s="7"/>
      <c r="I370" s="7"/>
      <c r="J370" s="7"/>
      <c r="K370" s="7"/>
      <c r="L370" s="7"/>
      <c r="M370" s="7"/>
      <c r="N370" s="7"/>
      <c r="O370" s="7"/>
      <c r="P370" s="7"/>
      <c r="Q370" s="7"/>
      <c r="R370" s="7"/>
      <c r="S370" s="7"/>
      <c r="T370" s="7"/>
      <c r="U370" s="7"/>
      <c r="V370" s="7"/>
      <c r="W370" s="7"/>
      <c r="X370" s="7"/>
      <c r="Y370" s="7"/>
      <c r="Z370" s="7"/>
    </row>
    <row r="371" ht="32" customHeight="1" s="33">
      <c r="A371" s="17" t="inlineStr">
        <is>
          <t xml:space="preserve">agent_proposals</t>
        </is>
      </c>
      <c r="B371" s="17" t="inlineStr">
        <is>
          <t xml:space="preserve">conversation_id</t>
        </is>
      </c>
      <c r="C371" s="10" t="inlineStr">
        <is>
          <t xml:space="preserve">bigint</t>
        </is>
      </c>
      <c r="D371" s="16" t="inlineStr">
        <is>
          <t xml:space="preserve">NOT NULL</t>
        </is>
      </c>
      <c r="E371" s="10" t="inlineStr">
        <is>
          <t xml:space="preserve">Owning conversation</t>
        </is>
      </c>
      <c r="F371" s="10" t="inlineStr">
        <is>
          <t xml:space="preserve">FK -&gt; agent_conversations; CASCADE</t>
        </is>
      </c>
      <c r="G371" s="10"/>
      <c r="H371" s="7"/>
      <c r="I371" s="7"/>
      <c r="J371" s="7"/>
      <c r="K371" s="7"/>
      <c r="L371" s="7"/>
      <c r="M371" s="7"/>
      <c r="N371" s="7"/>
      <c r="O371" s="7"/>
      <c r="P371" s="7"/>
      <c r="Q371" s="7"/>
      <c r="R371" s="7"/>
      <c r="S371" s="7"/>
      <c r="T371" s="7"/>
      <c r="U371" s="7"/>
      <c r="V371" s="7"/>
      <c r="W371" s="7"/>
      <c r="X371" s="7"/>
      <c r="Y371" s="7"/>
      <c r="Z371" s="7"/>
    </row>
    <row r="372" ht="32" customHeight="1" s="33">
      <c r="A372" s="17" t="inlineStr">
        <is>
          <t xml:space="preserve">agent_proposals</t>
        </is>
      </c>
      <c r="B372" s="17" t="inlineStr">
        <is>
          <t xml:space="preserve">proposal_version</t>
        </is>
      </c>
      <c r="C372" s="10" t="inlineStr">
        <is>
          <t xml:space="preserve">integer</t>
        </is>
      </c>
      <c r="D372" s="16" t="inlineStr">
        <is>
          <t xml:space="preserve">NOT NULL</t>
        </is>
      </c>
      <c r="E372" s="10" t="inlineStr">
        <is>
          <t xml:space="preserve">Positive conversation-local revision</t>
        </is>
      </c>
      <c r="F372" s="10" t="inlineStr">
        <is>
          <t xml:space="preserve">UNIQUE(conversation_id,proposal_version); CHECK &gt;0</t>
        </is>
      </c>
      <c r="G372" s="10"/>
      <c r="H372" s="7"/>
      <c r="I372" s="7"/>
      <c r="J372" s="7"/>
      <c r="K372" s="7"/>
      <c r="L372" s="7"/>
      <c r="M372" s="7"/>
      <c r="N372" s="7"/>
      <c r="O372" s="7"/>
      <c r="P372" s="7"/>
      <c r="Q372" s="7"/>
      <c r="R372" s="7"/>
      <c r="S372" s="7"/>
      <c r="T372" s="7"/>
      <c r="U372" s="7"/>
      <c r="V372" s="7"/>
      <c r="W372" s="7"/>
      <c r="X372" s="7"/>
      <c r="Y372" s="7"/>
      <c r="Z372" s="7"/>
    </row>
    <row r="373" ht="32" customHeight="1" s="33">
      <c r="A373" s="17" t="inlineStr">
        <is>
          <t xml:space="preserve">agent_proposals</t>
        </is>
      </c>
      <c r="B373" s="17" t="inlineStr">
        <is>
          <t xml:space="preserve">operation</t>
        </is>
      </c>
      <c r="C373" s="10" t="inlineStr">
        <is>
          <t xml:space="preserve">varchar(10)</t>
        </is>
      </c>
      <c r="D373" s="16" t="inlineStr">
        <is>
          <t xml:space="preserve">NOT NULL</t>
        </is>
      </c>
      <c r="E373" s="10" t="inlineStr">
        <is>
          <t xml:space="preserve">create / update; update requires base roadmap ID and version</t>
        </is>
      </c>
      <c r="F373" s="10" t="inlineStr">
        <is>
          <t>CHECK: update requires base_roadmap_id IS NOT NULL AND base_roadmap_version IS NOT NULL AND base_roadmap_version &gt; 0; create requires both NULL.</t>
        </is>
      </c>
      <c r="G373" s="10"/>
      <c r="H373" s="7"/>
      <c r="I373" s="7"/>
      <c r="J373" s="7"/>
      <c r="K373" s="7"/>
      <c r="L373" s="7"/>
      <c r="M373" s="7"/>
      <c r="N373" s="7"/>
      <c r="O373" s="7"/>
      <c r="P373" s="7"/>
      <c r="Q373" s="7"/>
      <c r="R373" s="7"/>
      <c r="S373" s="7"/>
      <c r="T373" s="7"/>
      <c r="U373" s="7"/>
      <c r="V373" s="7"/>
      <c r="W373" s="7"/>
      <c r="X373" s="7"/>
      <c r="Y373" s="7"/>
      <c r="Z373" s="7"/>
    </row>
    <row r="374" ht="32" customHeight="1" s="33">
      <c r="A374" s="17" t="inlineStr">
        <is>
          <t xml:space="preserve">agent_proposals</t>
        </is>
      </c>
      <c r="B374" s="17" t="inlineStr">
        <is>
          <t xml:space="preserve">base_roadmap_id</t>
        </is>
      </c>
      <c r="C374" s="10" t="inlineStr">
        <is>
          <t xml:space="preserve">bigint</t>
        </is>
      </c>
      <c r="D374" s="16" t="inlineStr">
        <is>
          <t xml:space="preserve">NULL</t>
        </is>
      </c>
      <c r="E374" s="10" t="inlineStr">
        <is>
          <t xml:space="preserve">Update source</t>
        </is>
      </c>
      <c r="F374" s="10" t="inlineStr">
        <is>
          <t xml:space="preserve">FK -&gt; roadmaps; RESTRICT</t>
        </is>
      </c>
      <c r="G374" s="10"/>
      <c r="H374" s="7"/>
      <c r="I374" s="7"/>
      <c r="J374" s="7"/>
      <c r="K374" s="7"/>
      <c r="L374" s="7"/>
      <c r="M374" s="7"/>
      <c r="N374" s="7"/>
      <c r="O374" s="7"/>
      <c r="P374" s="7"/>
      <c r="Q374" s="7"/>
      <c r="R374" s="7"/>
      <c r="S374" s="7"/>
      <c r="T374" s="7"/>
      <c r="U374" s="7"/>
      <c r="V374" s="7"/>
      <c r="W374" s="7"/>
      <c r="X374" s="7"/>
      <c r="Y374" s="7"/>
      <c r="Z374" s="7"/>
    </row>
    <row r="375" ht="32" customHeight="1" s="33">
      <c r="A375" s="17" t="inlineStr">
        <is>
          <t xml:space="preserve">agent_proposals</t>
        </is>
      </c>
      <c r="B375" s="17" t="inlineStr">
        <is>
          <t xml:space="preserve">base_roadmap_version</t>
        </is>
      </c>
      <c r="C375" s="10" t="inlineStr">
        <is>
          <t xml:space="preserve">bigint</t>
        </is>
      </c>
      <c r="D375" s="16" t="inlineStr">
        <is>
          <t xml:space="preserve">NULL</t>
        </is>
      </c>
      <c r="E375" s="10" t="inlineStr">
        <is>
          <t>Source aggregate revision; mandatory and positive for update, NULL for create. SQL CHECK explicitly rejects NULL for update.</t>
        </is>
      </c>
      <c r="F375" s="10"/>
      <c r="G375" s="10"/>
      <c r="H375" s="7"/>
      <c r="I375" s="7"/>
      <c r="J375" s="7"/>
      <c r="K375" s="7"/>
      <c r="L375" s="7"/>
      <c r="M375" s="7"/>
      <c r="N375" s="7"/>
      <c r="O375" s="7"/>
      <c r="P375" s="7"/>
      <c r="Q375" s="7"/>
      <c r="R375" s="7"/>
      <c r="S375" s="7"/>
      <c r="T375" s="7"/>
      <c r="U375" s="7"/>
      <c r="V375" s="7"/>
      <c r="W375" s="7"/>
      <c r="X375" s="7"/>
      <c r="Y375" s="7"/>
      <c r="Z375" s="7"/>
    </row>
    <row r="376" ht="32" customHeight="1" s="33">
      <c r="A376" s="17" t="inlineStr">
        <is>
          <t xml:space="preserve">agent_proposals</t>
        </is>
      </c>
      <c r="B376" s="17" t="inlineStr">
        <is>
          <t xml:space="preserve">payload</t>
        </is>
      </c>
      <c r="C376" s="10" t="inlineStr">
        <is>
          <t xml:space="preserve">jsonb</t>
        </is>
      </c>
      <c r="D376" s="16" t="inlineStr">
        <is>
          <t xml:space="preserve">NOT NULL</t>
        </is>
      </c>
      <c r="E376" s="10" t="inlineStr">
        <is>
          <t xml:space="preserve">Full snapshot, delta, trusted provenance</t>
        </is>
      </c>
      <c r="F376" s="10"/>
      <c r="G376" s="10"/>
      <c r="H376" s="7"/>
      <c r="I376" s="7"/>
      <c r="J376" s="7"/>
      <c r="K376" s="7"/>
      <c r="L376" s="7"/>
      <c r="M376" s="7"/>
      <c r="N376" s="7"/>
      <c r="O376" s="7"/>
      <c r="P376" s="7"/>
      <c r="Q376" s="7"/>
      <c r="R376" s="7"/>
      <c r="S376" s="7"/>
      <c r="T376" s="7"/>
      <c r="U376" s="7"/>
      <c r="V376" s="7"/>
      <c r="W376" s="7"/>
      <c r="X376" s="7"/>
      <c r="Y376" s="7"/>
      <c r="Z376" s="7"/>
    </row>
    <row r="377" ht="32" customHeight="1" s="33">
      <c r="A377" s="17" t="inlineStr">
        <is>
          <t xml:space="preserve">agent_proposals</t>
        </is>
      </c>
      <c r="B377" s="17" t="inlineStr">
        <is>
          <t xml:space="preserve">validation_result</t>
        </is>
      </c>
      <c r="C377" s="10" t="inlineStr">
        <is>
          <t xml:space="preserve">jsonb</t>
        </is>
      </c>
      <c r="D377" s="16" t="inlineStr">
        <is>
          <t xml:space="preserve">NOT NULL</t>
        </is>
      </c>
      <c r="E377" s="10" t="inlineStr">
        <is>
          <t xml:space="preserve">Errors, warnings, prices and routes</t>
        </is>
      </c>
      <c r="F377" s="10"/>
      <c r="G377" s="10"/>
      <c r="H377" s="7"/>
      <c r="I377" s="7"/>
      <c r="J377" s="7"/>
      <c r="K377" s="7"/>
      <c r="L377" s="7"/>
      <c r="M377" s="7"/>
      <c r="N377" s="7"/>
      <c r="O377" s="7"/>
      <c r="P377" s="7"/>
      <c r="Q377" s="7"/>
      <c r="R377" s="7"/>
      <c r="S377" s="7"/>
      <c r="T377" s="7"/>
      <c r="U377" s="7"/>
      <c r="V377" s="7"/>
      <c r="W377" s="7"/>
      <c r="X377" s="7"/>
      <c r="Y377" s="7"/>
      <c r="Z377" s="7"/>
    </row>
    <row r="378" ht="32" customHeight="1" s="33">
      <c r="A378" s="17" t="inlineStr">
        <is>
          <t xml:space="preserve">agent_proposals</t>
        </is>
      </c>
      <c r="B378" s="17" t="inlineStr">
        <is>
          <t xml:space="preserve">status</t>
        </is>
      </c>
      <c r="C378" s="10" t="inlineStr">
        <is>
          <t xml:space="preserve">varchar(16)</t>
        </is>
      </c>
      <c r="D378" s="16" t="inlineStr">
        <is>
          <t xml:space="preserve">NOT NULL</t>
        </is>
      </c>
      <c r="E378" s="10" t="inlineStr">
        <is>
          <t xml:space="preserve">ready / invalid / superseded / committed / discarded / expired</t>
        </is>
      </c>
      <c r="F378" s="10" t="inlineStr">
        <is>
          <t>CHECK: committed requires result_roadmap_id, result_roadmap_version IS NOT NULL AND &gt; 0, commit_result and committed_at; all commit metadata must be NULL for other statuses.</t>
        </is>
      </c>
      <c r="G378" s="10"/>
      <c r="H378" s="7"/>
      <c r="I378" s="7"/>
      <c r="J378" s="7"/>
      <c r="K378" s="7"/>
      <c r="L378" s="7"/>
      <c r="M378" s="7"/>
      <c r="N378" s="7"/>
      <c r="O378" s="7"/>
      <c r="P378" s="7"/>
      <c r="Q378" s="7"/>
      <c r="R378" s="7"/>
      <c r="S378" s="7"/>
      <c r="T378" s="7"/>
      <c r="U378" s="7"/>
      <c r="V378" s="7"/>
      <c r="W378" s="7"/>
      <c r="X378" s="7"/>
      <c r="Y378" s="7"/>
      <c r="Z378" s="7"/>
    </row>
    <row r="379" ht="32" customHeight="1" s="33">
      <c r="A379" s="17" t="inlineStr">
        <is>
          <t xml:space="preserve">agent_proposals</t>
        </is>
      </c>
      <c r="B379" s="17" t="inlineStr">
        <is>
          <t xml:space="preserve">reco_request_ids</t>
        </is>
      </c>
      <c r="C379" s="10" t="inlineStr">
        <is>
          <t xml:space="preserve">uuid[]</t>
        </is>
      </c>
      <c r="D379" s="16" t="inlineStr">
        <is>
          <t xml:space="preserve">NOT NULL</t>
        </is>
      </c>
      <c r="E379" s="10" t="inlineStr">
        <is>
          <t xml:space="preserve">UUID theo hợp đồng Recommendation hiện có; fallback không có requestId.</t>
        </is>
      </c>
      <c r="F379" s="10"/>
      <c r="G379" s="10" t="inlineStr">
        <is>
          <t xml:space="preserve">{}</t>
        </is>
      </c>
      <c r="H379" s="7"/>
      <c r="I379" s="7"/>
      <c r="J379" s="7"/>
      <c r="K379" s="7"/>
      <c r="L379" s="7"/>
      <c r="M379" s="7"/>
      <c r="N379" s="7"/>
      <c r="O379" s="7"/>
      <c r="P379" s="7"/>
      <c r="Q379" s="7"/>
      <c r="R379" s="7"/>
      <c r="S379" s="7"/>
      <c r="T379" s="7"/>
      <c r="U379" s="7"/>
      <c r="V379" s="7"/>
      <c r="W379" s="7"/>
      <c r="X379" s="7"/>
      <c r="Y379" s="7"/>
      <c r="Z379" s="7"/>
    </row>
    <row r="380" ht="32" customHeight="1" s="33">
      <c r="A380" s="17" t="inlineStr">
        <is>
          <t xml:space="preserve">agent_proposals</t>
        </is>
      </c>
      <c r="B380" s="17" t="inlineStr">
        <is>
          <t xml:space="preserve">result_roadmap_id</t>
        </is>
      </c>
      <c r="C380" s="10" t="inlineStr">
        <is>
          <t xml:space="preserve">bigint</t>
        </is>
      </c>
      <c r="D380" s="16" t="inlineStr">
        <is>
          <t xml:space="preserve">NULL</t>
        </is>
      </c>
      <c r="E380" s="10" t="inlineStr">
        <is>
          <t xml:space="preserve">Committed roadmap</t>
        </is>
      </c>
      <c r="F380" s="10" t="inlineStr">
        <is>
          <t xml:space="preserve">FK -&gt; roadmaps; RESTRICT</t>
        </is>
      </c>
      <c r="G380" s="10"/>
      <c r="H380" s="7"/>
      <c r="I380" s="7"/>
      <c r="J380" s="7"/>
      <c r="K380" s="7"/>
      <c r="L380" s="7"/>
      <c r="M380" s="7"/>
      <c r="N380" s="7"/>
      <c r="O380" s="7"/>
      <c r="P380" s="7"/>
      <c r="Q380" s="7"/>
      <c r="R380" s="7"/>
      <c r="S380" s="7"/>
      <c r="T380" s="7"/>
      <c r="U380" s="7"/>
      <c r="V380" s="7"/>
      <c r="W380" s="7"/>
      <c r="X380" s="7"/>
      <c r="Y380" s="7"/>
      <c r="Z380" s="7"/>
    </row>
    <row r="381" ht="32" customHeight="1" s="33">
      <c r="A381" s="17" t="inlineStr">
        <is>
          <t xml:space="preserve">agent_proposals</t>
        </is>
      </c>
      <c r="B381" s="17" t="inlineStr">
        <is>
          <t xml:space="preserve">result_roadmap_version</t>
        </is>
      </c>
      <c r="C381" s="10" t="inlineStr">
        <is>
          <t xml:space="preserve">bigint</t>
        </is>
      </c>
      <c r="D381" s="16" t="inlineStr">
        <is>
          <t xml:space="preserve">NULL</t>
        </is>
      </c>
      <c r="E381" s="10" t="inlineStr">
        <is>
          <t>Original committed revision; must be non-NULL and &gt; 0 when committed, otherwise NULL.</t>
        </is>
      </c>
      <c r="F381" s="10"/>
      <c r="G381" s="10"/>
      <c r="H381" s="7"/>
      <c r="I381" s="7"/>
      <c r="J381" s="7"/>
      <c r="K381" s="7"/>
      <c r="L381" s="7"/>
      <c r="M381" s="7"/>
      <c r="N381" s="7"/>
      <c r="O381" s="7"/>
      <c r="P381" s="7"/>
      <c r="Q381" s="7"/>
      <c r="R381" s="7"/>
      <c r="S381" s="7"/>
      <c r="T381" s="7"/>
      <c r="U381" s="7"/>
      <c r="V381" s="7"/>
      <c r="W381" s="7"/>
      <c r="X381" s="7"/>
      <c r="Y381" s="7"/>
      <c r="Z381" s="7"/>
    </row>
    <row r="382" ht="32" customHeight="1" s="33">
      <c r="A382" s="17" t="inlineStr">
        <is>
          <t xml:space="preserve">agent_proposals</t>
        </is>
      </c>
      <c r="B382" s="17" t="inlineStr">
        <is>
          <t xml:space="preserve">commit_result</t>
        </is>
      </c>
      <c r="C382" s="10" t="inlineStr">
        <is>
          <t xml:space="preserve">jsonb</t>
        </is>
      </c>
      <c r="D382" s="16" t="inlineStr">
        <is>
          <t xml:space="preserve">NULL</t>
        </is>
      </c>
      <c r="E382" s="10" t="inlineStr">
        <is>
          <t xml:space="preserve">Replay metadata and itemKey mapping</t>
        </is>
      </c>
      <c r="F382" s="10"/>
      <c r="G382" s="10"/>
      <c r="H382" s="7"/>
      <c r="I382" s="7"/>
      <c r="J382" s="7"/>
      <c r="K382" s="7"/>
      <c r="L382" s="7"/>
      <c r="M382" s="7"/>
      <c r="N382" s="7"/>
      <c r="O382" s="7"/>
      <c r="P382" s="7"/>
      <c r="Q382" s="7"/>
      <c r="R382" s="7"/>
      <c r="S382" s="7"/>
      <c r="T382" s="7"/>
      <c r="U382" s="7"/>
      <c r="V382" s="7"/>
      <c r="W382" s="7"/>
      <c r="X382" s="7"/>
      <c r="Y382" s="7"/>
      <c r="Z382" s="7"/>
    </row>
    <row r="383" ht="32" customHeight="1" s="33">
      <c r="A383" s="17" t="inlineStr">
        <is>
          <t xml:space="preserve">agent_proposals</t>
        </is>
      </c>
      <c r="B383" s="17" t="inlineStr">
        <is>
          <t xml:space="preserve">created_at</t>
        </is>
      </c>
      <c r="C383" s="10" t="inlineStr">
        <is>
          <t xml:space="preserve">timestamptz</t>
        </is>
      </c>
      <c r="D383" s="16" t="inlineStr">
        <is>
          <t xml:space="preserve">NOT NULL</t>
        </is>
      </c>
      <c r="E383" s="10" t="inlineStr">
        <is>
          <t xml:space="preserve">Creation time</t>
        </is>
      </c>
      <c r="F383" s="10"/>
      <c r="G383" s="10" t="inlineStr">
        <is>
          <t xml:space="preserve">now()</t>
        </is>
      </c>
      <c r="H383" s="7"/>
      <c r="I383" s="7"/>
      <c r="J383" s="7"/>
      <c r="K383" s="7"/>
      <c r="L383" s="7"/>
      <c r="M383" s="7"/>
      <c r="N383" s="7"/>
      <c r="O383" s="7"/>
      <c r="P383" s="7"/>
      <c r="Q383" s="7"/>
      <c r="R383" s="7"/>
      <c r="S383" s="7"/>
      <c r="T383" s="7"/>
      <c r="U383" s="7"/>
      <c r="V383" s="7"/>
      <c r="W383" s="7"/>
      <c r="X383" s="7"/>
      <c r="Y383" s="7"/>
      <c r="Z383" s="7"/>
    </row>
    <row r="384" ht="32" customHeight="1" s="33">
      <c r="A384" s="17" t="inlineStr">
        <is>
          <t xml:space="preserve">agent_proposals</t>
        </is>
      </c>
      <c r="B384" s="17" t="inlineStr">
        <is>
          <t xml:space="preserve">expires_at</t>
        </is>
      </c>
      <c r="C384" s="10" t="inlineStr">
        <is>
          <t xml:space="preserve">timestamptz</t>
        </is>
      </c>
      <c r="D384" s="16" t="inlineStr">
        <is>
          <t xml:space="preserve">NOT NULL</t>
        </is>
      </c>
      <c r="E384" s="10" t="inlineStr">
        <is>
          <t xml:space="preserve">Expiry deadline</t>
        </is>
      </c>
      <c r="F384" s="10"/>
      <c r="G384" s="10"/>
      <c r="H384" s="7"/>
      <c r="I384" s="7"/>
      <c r="J384" s="7"/>
      <c r="K384" s="7"/>
      <c r="L384" s="7"/>
      <c r="M384" s="7"/>
      <c r="N384" s="7"/>
      <c r="O384" s="7"/>
      <c r="P384" s="7"/>
      <c r="Q384" s="7"/>
      <c r="R384" s="7"/>
      <c r="S384" s="7"/>
      <c r="T384" s="7"/>
      <c r="U384" s="7"/>
      <c r="V384" s="7"/>
      <c r="W384" s="7"/>
      <c r="X384" s="7"/>
      <c r="Y384" s="7"/>
      <c r="Z384" s="7"/>
    </row>
    <row r="385" ht="32" customHeight="1" s="33">
      <c r="A385" s="17" t="inlineStr">
        <is>
          <t xml:space="preserve">agent_proposals</t>
        </is>
      </c>
      <c r="B385" s="17" t="inlineStr">
        <is>
          <t xml:space="preserve">committed_at</t>
        </is>
      </c>
      <c r="C385" s="10" t="inlineStr">
        <is>
          <t xml:space="preserve">timestamptz</t>
        </is>
      </c>
      <c r="D385" s="16" t="inlineStr">
        <is>
          <t xml:space="preserve">NULL</t>
        </is>
      </c>
      <c r="E385" s="10" t="inlineStr">
        <is>
          <t xml:space="preserve">Commit UTC time</t>
        </is>
      </c>
      <c r="F385" s="10"/>
      <c r="G385" s="10"/>
      <c r="H385" s="7"/>
      <c r="I385" s="7"/>
      <c r="J385" s="7"/>
      <c r="K385" s="7"/>
      <c r="L385" s="7"/>
      <c r="M385" s="7"/>
      <c r="N385" s="7"/>
      <c r="O385" s="7"/>
      <c r="P385" s="7"/>
      <c r="Q385" s="7"/>
      <c r="R385" s="7"/>
      <c r="S385" s="7"/>
      <c r="T385" s="7"/>
      <c r="U385" s="7"/>
      <c r="V385" s="7"/>
      <c r="W385" s="7"/>
      <c r="X385" s="7"/>
      <c r="Y385" s="7"/>
      <c r="Z385" s="7"/>
    </row>
  </sheetData>
  <autoFilter ref="A1:G385"/>
  <mergeCells count="41">
    <mergeCell ref="A247:G247"/>
    <mergeCell ref="A139:G139"/>
    <mergeCell ref="A90:G90"/>
    <mergeCell ref="A22:G22"/>
    <mergeCell ref="A35:G35"/>
    <mergeCell ref="A124:G124"/>
    <mergeCell ref="A146:G146"/>
    <mergeCell ref="A29:G29"/>
    <mergeCell ref="A169:G169"/>
    <mergeCell ref="A114:G114"/>
    <mergeCell ref="A308:G308"/>
    <mergeCell ref="A58:G58"/>
    <mergeCell ref="A142:G142"/>
    <mergeCell ref="A49:G49"/>
    <mergeCell ref="A181:G181"/>
    <mergeCell ref="A281:G281"/>
    <mergeCell ref="A296:G296"/>
    <mergeCell ref="A6:G6"/>
    <mergeCell ref="A218:G218"/>
    <mergeCell ref="A330:G330"/>
    <mergeCell ref="A41:G41"/>
    <mergeCell ref="A268:G268"/>
    <mergeCell ref="A317:G317"/>
    <mergeCell ref="A66:G66"/>
    <mergeCell ref="A264:G264"/>
    <mergeCell ref="A197:G197"/>
    <mergeCell ref="A233:G233"/>
    <mergeCell ref="A188:G188"/>
    <mergeCell ref="A119:G119"/>
    <mergeCell ref="A223:G223"/>
    <mergeCell ref="A157:G157"/>
    <mergeCell ref="A100:G100"/>
    <mergeCell ref="A94:G94"/>
    <mergeCell ref="A26:G26"/>
    <mergeCell ref="A272:G272"/>
    <mergeCell ref="A2:G2"/>
    <mergeCell ref="A178:G178"/>
    <mergeCell ref="A203:G203"/>
    <mergeCell ref="A343:G343"/>
    <mergeCell ref="A357:G357"/>
    <mergeCell ref="A369:G369"/>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1"/>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33" min="1" max="1"/>
    <col width="24" customWidth="1" style="33" min="2" max="2"/>
    <col width="22" customWidth="1" style="33" min="3" max="3"/>
    <col width="13" customWidth="1" style="33" min="4" max="4"/>
    <col width="70" customWidth="1" style="33" min="5" max="5"/>
    <col width="26" customWidth="1" style="33" min="6" max="6"/>
    <col width="22" customWidth="1" style="33" min="7" max="7"/>
  </cols>
  <sheetData>
    <row r="1">
      <c r="A1" s="4" t="inlineStr">
        <is>
          <t>Tên bảng</t>
        </is>
      </c>
      <c r="B1" s="4" t="inlineStr">
        <is>
          <t>Tên trường</t>
        </is>
      </c>
      <c r="C1" s="4" t="inlineStr">
        <is>
          <t>Kiểu dữ liệu</t>
        </is>
      </c>
      <c r="D1" s="4" t="inlineStr">
        <is>
          <t>Not null / Nullable</t>
        </is>
      </c>
      <c r="E1" s="4" t="inlineStr">
        <is>
          <t>Mô tả trường</t>
        </is>
      </c>
      <c r="F1" s="4" t="inlineStr">
        <is>
          <t>Khóa</t>
        </is>
      </c>
      <c r="G1" s="4" t="inlineStr">
        <is>
          <t>Mặc định</t>
        </is>
      </c>
      <c r="H1" s="7" t="n"/>
      <c r="I1" s="7" t="n"/>
      <c r="J1" s="7" t="n"/>
      <c r="K1" s="7" t="n"/>
      <c r="L1" s="7" t="n"/>
      <c r="M1" s="7" t="n"/>
      <c r="N1" s="7" t="n"/>
      <c r="O1" s="7" t="n"/>
      <c r="P1" s="7" t="n"/>
      <c r="Q1" s="7" t="n"/>
      <c r="R1" s="7" t="n"/>
      <c r="S1" s="7" t="n"/>
      <c r="T1" s="7" t="n"/>
      <c r="U1" s="7" t="n"/>
      <c r="V1" s="7" t="n"/>
      <c r="W1" s="7" t="n"/>
      <c r="X1" s="7" t="n"/>
      <c r="Y1" s="7" t="n"/>
      <c r="Z1" s="7" t="n"/>
    </row>
    <row r="2">
      <c r="A2" s="35" t="inlineStr">
        <is>
          <t>algorithm_configs  —  Cấu hình thuật toán có phiên bản</t>
        </is>
      </c>
      <c r="H2" s="7" t="n"/>
      <c r="I2" s="7" t="n"/>
      <c r="J2" s="7" t="n"/>
      <c r="K2" s="7" t="n"/>
      <c r="L2" s="7" t="n"/>
      <c r="M2" s="7" t="n"/>
      <c r="N2" s="7" t="n"/>
      <c r="O2" s="7" t="n"/>
      <c r="P2" s="7" t="n"/>
      <c r="Q2" s="7" t="n"/>
      <c r="R2" s="7" t="n"/>
      <c r="S2" s="7" t="n"/>
      <c r="T2" s="7" t="n"/>
      <c r="U2" s="7" t="n"/>
      <c r="V2" s="7" t="n"/>
      <c r="W2" s="7" t="n"/>
      <c r="X2" s="7" t="n"/>
      <c r="Y2" s="7" t="n"/>
      <c r="Z2" s="7" t="n"/>
    </row>
    <row r="3">
      <c r="A3" s="10" t="inlineStr">
        <is>
          <t>algorithm_configs</t>
        </is>
      </c>
      <c r="B3" s="10" t="inlineStr">
        <is>
          <t>config_version</t>
        </is>
      </c>
      <c r="C3" s="10" t="inlineStr">
        <is>
          <t>integer</t>
        </is>
      </c>
      <c r="D3" s="16" t="inlineStr">
        <is>
          <t>NOT NULL</t>
        </is>
      </c>
      <c r="E3" s="10" t="inlineStr">
        <is>
          <t>Số phiên bản cấu hình</t>
        </is>
      </c>
      <c r="F3" s="10" t="inlineStr">
        <is>
          <t>PK</t>
        </is>
      </c>
      <c r="G3" s="10" t="n"/>
      <c r="H3" s="7" t="n"/>
      <c r="I3" s="7" t="n"/>
      <c r="J3" s="7" t="n"/>
      <c r="K3" s="7" t="n"/>
      <c r="L3" s="7" t="n"/>
      <c r="M3" s="7" t="n"/>
      <c r="N3" s="7" t="n"/>
      <c r="O3" s="7" t="n"/>
      <c r="P3" s="7" t="n"/>
      <c r="Q3" s="7" t="n"/>
      <c r="R3" s="7" t="n"/>
      <c r="S3" s="7" t="n"/>
      <c r="T3" s="7" t="n"/>
      <c r="U3" s="7" t="n"/>
      <c r="V3" s="7" t="n"/>
      <c r="W3" s="7" t="n"/>
      <c r="X3" s="7" t="n"/>
      <c r="Y3" s="7" t="n"/>
      <c r="Z3" s="7" t="n"/>
    </row>
    <row r="4">
      <c r="A4" s="10" t="inlineStr">
        <is>
          <t>algorithm_configs</t>
        </is>
      </c>
      <c r="B4" s="10" t="inlineStr">
        <is>
          <t>params</t>
        </is>
      </c>
      <c r="C4" s="10" t="inlineStr">
        <is>
          <t>jsonb</t>
        </is>
      </c>
      <c r="D4" s="16" t="inlineStr">
        <is>
          <t>NOT NULL</t>
        </is>
      </c>
      <c r="E4" s="10" t="inlineStr">
        <is>
          <t>{"beta_u":0.03,"beta_s":0.03,"k":5,"k_prime":5,"z":1.96,"gamma":0,"explicit_norm":"minmax_cosine","ontology_version":1}. gamma = 0 cho tới khi làm UCB (giai đoạn 3), sau đó thêm config_version mới với gamma = 0.1</t>
        </is>
      </c>
      <c r="F4" s="10" t="n"/>
      <c r="G4" s="10" t="n"/>
      <c r="H4" s="7" t="n"/>
      <c r="I4" s="7" t="n"/>
      <c r="J4" s="7" t="n"/>
      <c r="K4" s="7" t="n"/>
      <c r="L4" s="7" t="n"/>
      <c r="M4" s="7" t="n"/>
      <c r="N4" s="7" t="n"/>
      <c r="O4" s="7" t="n"/>
      <c r="P4" s="7" t="n"/>
      <c r="Q4" s="7" t="n"/>
      <c r="R4" s="7" t="n"/>
      <c r="S4" s="7" t="n"/>
      <c r="T4" s="7" t="n"/>
      <c r="U4" s="7" t="n"/>
      <c r="V4" s="7" t="n"/>
      <c r="W4" s="7" t="n"/>
      <c r="X4" s="7" t="n"/>
      <c r="Y4" s="7" t="n"/>
      <c r="Z4" s="7" t="n"/>
    </row>
    <row r="5">
      <c r="A5" s="10" t="inlineStr">
        <is>
          <t>algorithm_configs</t>
        </is>
      </c>
      <c r="B5" s="10" t="inlineStr">
        <is>
          <t>is_active</t>
        </is>
      </c>
      <c r="C5" s="10" t="inlineStr">
        <is>
          <t>boolean</t>
        </is>
      </c>
      <c r="D5" s="16" t="inlineStr">
        <is>
          <t>NOT NULL</t>
        </is>
      </c>
      <c r="E5" s="10" t="inlineStr">
        <is>
          <t>Cấu hình đang dùng (chỉ 1 dòng true). Unique index một phần WHERE is_active</t>
        </is>
      </c>
      <c r="F5" s="10" t="n"/>
      <c r="G5" s="10" t="inlineStr">
        <is>
          <t>false</t>
        </is>
      </c>
      <c r="H5" s="7" t="n"/>
      <c r="I5" s="7" t="n"/>
      <c r="J5" s="7" t="n"/>
      <c r="K5" s="7" t="n"/>
      <c r="L5" s="7" t="n"/>
      <c r="M5" s="7" t="n"/>
      <c r="N5" s="7" t="n"/>
      <c r="O5" s="7" t="n"/>
      <c r="P5" s="7" t="n"/>
      <c r="Q5" s="7" t="n"/>
      <c r="R5" s="7" t="n"/>
      <c r="S5" s="7" t="n"/>
      <c r="T5" s="7" t="n"/>
      <c r="U5" s="7" t="n"/>
      <c r="V5" s="7" t="n"/>
      <c r="W5" s="7" t="n"/>
      <c r="X5" s="7" t="n"/>
      <c r="Y5" s="7" t="n"/>
      <c r="Z5" s="7" t="n"/>
    </row>
    <row r="6">
      <c r="A6" s="10" t="inlineStr">
        <is>
          <t>algorithm_configs</t>
        </is>
      </c>
      <c r="B6" s="10" t="inlineStr">
        <is>
          <t>note</t>
        </is>
      </c>
      <c r="C6" s="10" t="inlineStr">
        <is>
          <t>text</t>
        </is>
      </c>
      <c r="D6" s="10" t="inlineStr">
        <is>
          <t>NULL</t>
        </is>
      </c>
      <c r="E6" s="10" t="inlineStr">
        <is>
          <t>Ghi chú</t>
        </is>
      </c>
      <c r="F6" s="10" t="n"/>
      <c r="G6" s="10" t="n"/>
      <c r="H6" s="7" t="n"/>
      <c r="I6" s="7" t="n"/>
      <c r="J6" s="7" t="n"/>
      <c r="K6" s="7" t="n"/>
      <c r="L6" s="7" t="n"/>
      <c r="M6" s="7" t="n"/>
      <c r="N6" s="7" t="n"/>
      <c r="O6" s="7" t="n"/>
      <c r="P6" s="7" t="n"/>
      <c r="Q6" s="7" t="n"/>
      <c r="R6" s="7" t="n"/>
      <c r="S6" s="7" t="n"/>
      <c r="T6" s="7" t="n"/>
      <c r="U6" s="7" t="n"/>
      <c r="V6" s="7" t="n"/>
      <c r="W6" s="7" t="n"/>
      <c r="X6" s="7" t="n"/>
      <c r="Y6" s="7" t="n"/>
      <c r="Z6" s="7" t="n"/>
    </row>
    <row r="7">
      <c r="A7" s="10" t="inlineStr">
        <is>
          <t>algorithm_configs</t>
        </is>
      </c>
      <c r="B7" s="10" t="inlineStr">
        <is>
          <t>created_at</t>
        </is>
      </c>
      <c r="C7" s="10" t="inlineStr">
        <is>
          <t>timestamp with time zone</t>
        </is>
      </c>
      <c r="D7" s="16" t="inlineStr">
        <is>
          <t>NOT NULL</t>
        </is>
      </c>
      <c r="E7" s="10" t="inlineStr">
        <is>
          <t>Thời điểm tạo</t>
        </is>
      </c>
      <c r="F7" s="10" t="n"/>
      <c r="G7" s="10" t="inlineStr">
        <is>
          <t>now()</t>
        </is>
      </c>
      <c r="H7" s="7" t="n"/>
      <c r="I7" s="7" t="n"/>
      <c r="J7" s="7" t="n"/>
      <c r="K7" s="7" t="n"/>
      <c r="L7" s="7" t="n"/>
      <c r="M7" s="7" t="n"/>
      <c r="N7" s="7" t="n"/>
      <c r="O7" s="7" t="n"/>
      <c r="P7" s="7" t="n"/>
      <c r="Q7" s="7" t="n"/>
      <c r="R7" s="7" t="n"/>
      <c r="S7" s="7" t="n"/>
      <c r="T7" s="7" t="n"/>
      <c r="U7" s="7" t="n"/>
      <c r="V7" s="7" t="n"/>
      <c r="W7" s="7" t="n"/>
      <c r="X7" s="7" t="n"/>
      <c r="Y7" s="7" t="n"/>
      <c r="Z7" s="7" t="n"/>
    </row>
    <row r="8">
      <c r="A8" s="35" t="inlineStr">
        <is>
          <t>survey_option_vectors  —  Quy lựa chọn khảo sát thành vector 12 chiều</t>
        </is>
      </c>
      <c r="H8" s="7" t="n"/>
      <c r="I8" s="7" t="n"/>
      <c r="J8" s="7" t="n"/>
      <c r="K8" s="7" t="n"/>
      <c r="L8" s="7" t="n"/>
      <c r="M8" s="7" t="n"/>
      <c r="N8" s="7" t="n"/>
      <c r="O8" s="7" t="n"/>
      <c r="P8" s="7" t="n"/>
      <c r="Q8" s="7" t="n"/>
      <c r="R8" s="7" t="n"/>
      <c r="S8" s="7" t="n"/>
      <c r="T8" s="7" t="n"/>
      <c r="U8" s="7" t="n"/>
      <c r="V8" s="7" t="n"/>
      <c r="W8" s="7" t="n"/>
      <c r="X8" s="7" t="n"/>
      <c r="Y8" s="7" t="n"/>
      <c r="Z8" s="7" t="n"/>
    </row>
    <row r="9">
      <c r="A9" s="10" t="inlineStr">
        <is>
          <t>survey_option_vectors</t>
        </is>
      </c>
      <c r="B9" s="10" t="inlineStr">
        <is>
          <t>option_code</t>
        </is>
      </c>
      <c r="C9" s="10" t="inlineStr">
        <is>
          <t>character varying(50)</t>
        </is>
      </c>
      <c r="D9" s="16" t="inlineStr">
        <is>
          <t>NOT NULL</t>
        </is>
      </c>
      <c r="E9" s="10" t="inlineStr">
        <is>
          <t>Mã lựa chọn khảo sát do app gửi lên (bộ câu hỏi cố định ở FE)</t>
        </is>
      </c>
      <c r="F9" s="10" t="inlineStr">
        <is>
          <t>PK</t>
        </is>
      </c>
      <c r="G9" s="10" t="n"/>
      <c r="H9" s="7" t="n"/>
      <c r="I9" s="7" t="n"/>
      <c r="J9" s="7" t="n"/>
      <c r="K9" s="7" t="n"/>
      <c r="L9" s="7" t="n"/>
      <c r="M9" s="7" t="n"/>
      <c r="N9" s="7" t="n"/>
      <c r="O9" s="7" t="n"/>
      <c r="P9" s="7" t="n"/>
      <c r="Q9" s="7" t="n"/>
      <c r="R9" s="7" t="n"/>
      <c r="S9" s="7" t="n"/>
      <c r="T9" s="7" t="n"/>
      <c r="U9" s="7" t="n"/>
      <c r="V9" s="7" t="n"/>
      <c r="W9" s="7" t="n"/>
      <c r="X9" s="7" t="n"/>
      <c r="Y9" s="7" t="n"/>
      <c r="Z9" s="7" t="n"/>
    </row>
    <row r="10">
      <c r="A10" s="10" t="inlineStr">
        <is>
          <t>survey_option_vectors</t>
        </is>
      </c>
      <c r="B10" s="10" t="inlineStr">
        <is>
          <t>vec</t>
        </is>
      </c>
      <c r="C10" s="10" t="inlineStr">
        <is>
          <t>vector(12)</t>
        </is>
      </c>
      <c r="D10" s="16" t="inlineStr">
        <is>
          <t>NOT NULL</t>
        </is>
      </c>
      <c r="E10" s="10" t="inlineStr">
        <is>
          <t>Các chiều không liên quan để 0. Được phép toàn 0 (vd lựa chọn “không ăn cay”)</t>
        </is>
      </c>
      <c r="F10" s="10" t="n"/>
      <c r="G10" s="10" t="n"/>
      <c r="H10" s="7" t="n"/>
      <c r="I10" s="7" t="n"/>
      <c r="J10" s="7" t="n"/>
      <c r="K10" s="7" t="n"/>
      <c r="L10" s="7" t="n"/>
      <c r="M10" s="7" t="n"/>
      <c r="N10" s="7" t="n"/>
      <c r="O10" s="7" t="n"/>
      <c r="P10" s="7" t="n"/>
      <c r="Q10" s="7" t="n"/>
      <c r="R10" s="7" t="n"/>
      <c r="S10" s="7" t="n"/>
      <c r="T10" s="7" t="n"/>
      <c r="U10" s="7" t="n"/>
      <c r="V10" s="7" t="n"/>
      <c r="W10" s="7" t="n"/>
      <c r="X10" s="7" t="n"/>
      <c r="Y10" s="7" t="n"/>
      <c r="Z10" s="7" t="n"/>
    </row>
    <row r="11">
      <c r="A11" s="10" t="inlineStr">
        <is>
          <t>survey_option_vectors</t>
        </is>
      </c>
      <c r="B11" s="10" t="inlineStr">
        <is>
          <t>dim_mask</t>
        </is>
      </c>
      <c r="C11" s="10" t="inlineStr">
        <is>
          <t>vector(12)</t>
        </is>
      </c>
      <c r="D11" s="16" t="inlineStr">
        <is>
          <t>NOT NULL</t>
        </is>
      </c>
      <c r="E11" s="10" t="inlineStr">
        <is>
          <t>1 ở chiều mà option này có ý kiến, 0 ở chiều còn lại. CHECK: khác vector 0 (lựa chọn phải chạm ít nhất 1 chiều)</t>
        </is>
      </c>
      <c r="F11" s="10" t="n"/>
      <c r="G11" s="10" t="n"/>
      <c r="H11" s="7" t="n"/>
      <c r="I11" s="7" t="n"/>
      <c r="J11" s="7" t="n"/>
      <c r="K11" s="7" t="n"/>
      <c r="L11" s="7" t="n"/>
      <c r="M11" s="7" t="n"/>
      <c r="N11" s="7" t="n"/>
      <c r="O11" s="7" t="n"/>
      <c r="P11" s="7" t="n"/>
      <c r="Q11" s="7" t="n"/>
      <c r="R11" s="7" t="n"/>
      <c r="S11" s="7" t="n"/>
      <c r="T11" s="7" t="n"/>
      <c r="U11" s="7" t="n"/>
      <c r="V11" s="7" t="n"/>
      <c r="W11" s="7" t="n"/>
      <c r="X11" s="7" t="n"/>
      <c r="Y11" s="7" t="n"/>
      <c r="Z11" s="7" t="n"/>
    </row>
    <row r="12">
      <c r="A12" s="10" t="inlineStr">
        <is>
          <t>survey_option_vectors</t>
        </is>
      </c>
      <c r="B12" s="10" t="inlineStr">
        <is>
          <t>updated_at</t>
        </is>
      </c>
      <c r="C12" s="10" t="inlineStr">
        <is>
          <t>timestamp with time zone</t>
        </is>
      </c>
      <c r="D12" s="16" t="inlineStr">
        <is>
          <t>NOT NULL</t>
        </is>
      </c>
      <c r="E12" s="10" t="inlineStr">
        <is>
          <t>Thời điểm cập nhật gần nhất</t>
        </is>
      </c>
      <c r="F12" s="10" t="n"/>
      <c r="G12" s="10" t="inlineStr">
        <is>
          <t>now()</t>
        </is>
      </c>
      <c r="H12" s="7" t="n"/>
      <c r="I12" s="7" t="n"/>
      <c r="J12" s="7" t="n"/>
      <c r="K12" s="7" t="n"/>
      <c r="L12" s="7" t="n"/>
      <c r="M12" s="7" t="n"/>
      <c r="N12" s="7" t="n"/>
      <c r="O12" s="7" t="n"/>
      <c r="P12" s="7" t="n"/>
      <c r="Q12" s="7" t="n"/>
      <c r="R12" s="7" t="n"/>
      <c r="S12" s="7" t="n"/>
      <c r="T12" s="7" t="n"/>
      <c r="U12" s="7" t="n"/>
      <c r="V12" s="7" t="n"/>
      <c r="W12" s="7" t="n"/>
      <c r="X12" s="7" t="n"/>
      <c r="Y12" s="7" t="n"/>
      <c r="Z12" s="7" t="n"/>
    </row>
    <row r="13">
      <c r="A13" s="35" t="inlineStr">
        <is>
          <t>dish_vectors  —  Vector 12 chiều của món do AI sinh</t>
        </is>
      </c>
      <c r="H13" s="7" t="n"/>
      <c r="I13" s="7" t="n"/>
      <c r="J13" s="7" t="n"/>
      <c r="K13" s="7" t="n"/>
      <c r="L13" s="7" t="n"/>
      <c r="M13" s="7" t="n"/>
      <c r="N13" s="7" t="n"/>
      <c r="O13" s="7" t="n"/>
      <c r="P13" s="7" t="n"/>
      <c r="Q13" s="7" t="n"/>
      <c r="R13" s="7" t="n"/>
      <c r="S13" s="7" t="n"/>
      <c r="T13" s="7" t="n"/>
      <c r="U13" s="7" t="n"/>
      <c r="V13" s="7" t="n"/>
      <c r="W13" s="7" t="n"/>
      <c r="X13" s="7" t="n"/>
      <c r="Y13" s="7" t="n"/>
      <c r="Z13" s="7" t="n"/>
    </row>
    <row r="14">
      <c r="A14" s="10" t="inlineStr">
        <is>
          <t>dish_vectors</t>
        </is>
      </c>
      <c r="B14" s="10" t="inlineStr">
        <is>
          <t>dish_id</t>
        </is>
      </c>
      <c r="C14" s="10" t="inlineStr">
        <is>
          <t>integer</t>
        </is>
      </c>
      <c r="D14" s="16" t="inlineStr">
        <is>
          <t>NOT NULL</t>
        </is>
      </c>
      <c r="E14" s="10" t="inlineStr">
        <is>
          <t>Món (= core.dishes.id, tham chiếu mềm)</t>
        </is>
      </c>
      <c r="F14" s="10" t="inlineStr">
        <is>
          <t>PK</t>
        </is>
      </c>
      <c r="G14" s="10" t="n"/>
      <c r="H14" s="7" t="n"/>
      <c r="I14" s="7" t="n"/>
      <c r="J14" s="7" t="n"/>
      <c r="K14" s="7" t="n"/>
      <c r="L14" s="7" t="n"/>
      <c r="M14" s="7" t="n"/>
      <c r="N14" s="7" t="n"/>
      <c r="O14" s="7" t="n"/>
      <c r="P14" s="7" t="n"/>
      <c r="Q14" s="7" t="n"/>
      <c r="R14" s="7" t="n"/>
      <c r="S14" s="7" t="n"/>
      <c r="T14" s="7" t="n"/>
      <c r="U14" s="7" t="n"/>
      <c r="V14" s="7" t="n"/>
      <c r="W14" s="7" t="n"/>
      <c r="X14" s="7" t="n"/>
      <c r="Y14" s="7" t="n"/>
      <c r="Z14" s="7" t="n"/>
    </row>
    <row r="15">
      <c r="A15" s="10" t="inlineStr">
        <is>
          <t>dish_vectors</t>
        </is>
      </c>
      <c r="B15" s="10" t="inlineStr">
        <is>
          <t>vec</t>
        </is>
      </c>
      <c r="C15" s="10" t="inlineStr">
        <is>
          <t>vector(12)</t>
        </is>
      </c>
      <c r="D15" s="10" t="inlineStr">
        <is>
          <t>NULL</t>
        </is>
      </c>
      <c r="E15" s="10" t="inlineStr">
        <is>
          <t>NULL khi chưa sinh được / failed. CHECK: khác vector 0; status = ready thì vec khác NULL</t>
        </is>
      </c>
      <c r="F15" s="10" t="n"/>
      <c r="G15" s="10" t="n"/>
      <c r="H15" s="7" t="n"/>
      <c r="I15" s="7" t="n"/>
      <c r="J15" s="7" t="n"/>
      <c r="K15" s="7" t="n"/>
      <c r="L15" s="7" t="n"/>
      <c r="M15" s="7" t="n"/>
      <c r="N15" s="7" t="n"/>
      <c r="O15" s="7" t="n"/>
      <c r="P15" s="7" t="n"/>
      <c r="Q15" s="7" t="n"/>
      <c r="R15" s="7" t="n"/>
      <c r="S15" s="7" t="n"/>
      <c r="T15" s="7" t="n"/>
      <c r="U15" s="7" t="n"/>
      <c r="V15" s="7" t="n"/>
      <c r="W15" s="7" t="n"/>
      <c r="X15" s="7" t="n"/>
      <c r="Y15" s="7" t="n"/>
      <c r="Z15" s="7" t="n"/>
    </row>
    <row r="16">
      <c r="A16" s="10" t="inlineStr">
        <is>
          <t>dish_vectors</t>
        </is>
      </c>
      <c r="B16" s="10" t="inlineStr">
        <is>
          <t>raw_ai_output</t>
        </is>
      </c>
      <c r="C16" s="10" t="inlineStr">
        <is>
          <t>jsonb</t>
        </is>
      </c>
      <c r="D16" s="10" t="inlineStr">
        <is>
          <t>NULL</t>
        </is>
      </c>
      <c r="E16" s="10" t="inlineStr">
        <is>
          <t>JSON gốc AI trả về</t>
        </is>
      </c>
      <c r="F16" s="10" t="n"/>
      <c r="G16" s="10" t="n"/>
      <c r="H16" s="7" t="n"/>
      <c r="I16" s="7" t="n"/>
      <c r="J16" s="7" t="n"/>
      <c r="K16" s="7" t="n"/>
      <c r="L16" s="7" t="n"/>
      <c r="M16" s="7" t="n"/>
      <c r="N16" s="7" t="n"/>
      <c r="O16" s="7" t="n"/>
      <c r="P16" s="7" t="n"/>
      <c r="Q16" s="7" t="n"/>
      <c r="R16" s="7" t="n"/>
      <c r="S16" s="7" t="n"/>
      <c r="T16" s="7" t="n"/>
      <c r="U16" s="7" t="n"/>
      <c r="V16" s="7" t="n"/>
      <c r="W16" s="7" t="n"/>
      <c r="X16" s="7" t="n"/>
      <c r="Y16" s="7" t="n"/>
      <c r="Z16" s="7" t="n"/>
    </row>
    <row r="17">
      <c r="A17" s="10" t="inlineStr">
        <is>
          <t>dish_vectors</t>
        </is>
      </c>
      <c r="B17" s="10" t="inlineStr">
        <is>
          <t>source_hash</t>
        </is>
      </c>
      <c r="C17" s="10" t="inlineStr">
        <is>
          <t>character(64)</t>
        </is>
      </c>
      <c r="D17" s="16" t="inlineStr">
        <is>
          <t>NOT NULL</t>
        </is>
      </c>
      <c r="E17" s="10" t="inlineStr">
        <is>
          <t>Sha256(name + description ...)</t>
        </is>
      </c>
      <c r="F17" s="10" t="n"/>
      <c r="G17" s="10" t="n"/>
      <c r="H17" s="7" t="n"/>
      <c r="I17" s="7" t="n"/>
      <c r="J17" s="7" t="n"/>
      <c r="K17" s="7" t="n"/>
      <c r="L17" s="7" t="n"/>
      <c r="M17" s="7" t="n"/>
      <c r="N17" s="7" t="n"/>
      <c r="O17" s="7" t="n"/>
      <c r="P17" s="7" t="n"/>
      <c r="Q17" s="7" t="n"/>
      <c r="R17" s="7" t="n"/>
      <c r="S17" s="7" t="n"/>
      <c r="T17" s="7" t="n"/>
      <c r="U17" s="7" t="n"/>
      <c r="V17" s="7" t="n"/>
      <c r="W17" s="7" t="n"/>
      <c r="X17" s="7" t="n"/>
      <c r="Y17" s="7" t="n"/>
      <c r="Z17" s="7" t="n"/>
    </row>
    <row r="18">
      <c r="A18" s="10" t="inlineStr">
        <is>
          <t>dish_vectors</t>
        </is>
      </c>
      <c r="B18" s="10" t="inlineStr">
        <is>
          <t>model_name</t>
        </is>
      </c>
      <c r="C18" s="10" t="inlineStr">
        <is>
          <t>character varying(100)</t>
        </is>
      </c>
      <c r="D18" s="10" t="inlineStr">
        <is>
          <t>NULL</t>
        </is>
      </c>
      <c r="E18" s="10" t="inlineStr">
        <is>
          <t>Model AI sinh vector</t>
        </is>
      </c>
      <c r="F18" s="10" t="n"/>
      <c r="G18" s="10" t="n"/>
      <c r="H18" s="7" t="n"/>
      <c r="I18" s="7" t="n"/>
      <c r="J18" s="7" t="n"/>
      <c r="K18" s="7" t="n"/>
      <c r="L18" s="7" t="n"/>
      <c r="M18" s="7" t="n"/>
      <c r="N18" s="7" t="n"/>
      <c r="O18" s="7" t="n"/>
      <c r="P18" s="7" t="n"/>
      <c r="Q18" s="7" t="n"/>
      <c r="R18" s="7" t="n"/>
      <c r="S18" s="7" t="n"/>
      <c r="T18" s="7" t="n"/>
      <c r="U18" s="7" t="n"/>
      <c r="V18" s="7" t="n"/>
      <c r="W18" s="7" t="n"/>
      <c r="X18" s="7" t="n"/>
      <c r="Y18" s="7" t="n"/>
      <c r="Z18" s="7" t="n"/>
    </row>
    <row r="19">
      <c r="A19" s="10" t="inlineStr">
        <is>
          <t>dish_vectors</t>
        </is>
      </c>
      <c r="B19" s="10" t="inlineStr">
        <is>
          <t>ontology_version</t>
        </is>
      </c>
      <c r="C19" s="10" t="inlineStr">
        <is>
          <t>smallint</t>
        </is>
      </c>
      <c r="D19" s="16" t="inlineStr">
        <is>
          <t>NOT NULL</t>
        </is>
      </c>
      <c r="E19" s="10" t="inlineStr">
        <is>
          <t>Phiên bản ontology (12 chiều = 1)</t>
        </is>
      </c>
      <c r="F19" s="10" t="n"/>
      <c r="G19" s="10" t="inlineStr">
        <is>
          <t>1</t>
        </is>
      </c>
      <c r="H19" s="7" t="n"/>
      <c r="I19" s="7" t="n"/>
      <c r="J19" s="7" t="n"/>
      <c r="K19" s="7" t="n"/>
      <c r="L19" s="7" t="n"/>
      <c r="M19" s="7" t="n"/>
      <c r="N19" s="7" t="n"/>
      <c r="O19" s="7" t="n"/>
      <c r="P19" s="7" t="n"/>
      <c r="Q19" s="7" t="n"/>
      <c r="R19" s="7" t="n"/>
      <c r="S19" s="7" t="n"/>
      <c r="T19" s="7" t="n"/>
      <c r="U19" s="7" t="n"/>
      <c r="V19" s="7" t="n"/>
      <c r="W19" s="7" t="n"/>
      <c r="X19" s="7" t="n"/>
      <c r="Y19" s="7" t="n"/>
      <c r="Z19" s="7" t="n"/>
    </row>
    <row r="20">
      <c r="A20" s="10" t="inlineStr">
        <is>
          <t>dish_vectors</t>
        </is>
      </c>
      <c r="B20" s="10" t="inlineStr">
        <is>
          <t>status</t>
        </is>
      </c>
      <c r="C20" s="10" t="inlineStr">
        <is>
          <t>character varying(10)</t>
        </is>
      </c>
      <c r="D20" s="16" t="inlineStr">
        <is>
          <t>NOT NULL</t>
        </is>
      </c>
      <c r="E20" s="10" t="inlineStr">
        <is>
          <t>pending, ready, failed. CHECK theo giá trị trên. Index một phần WHERE status &lt;&gt; 'ready' cho vòng lặp nền</t>
        </is>
      </c>
      <c r="F20" s="10" t="n"/>
      <c r="G20" s="10" t="inlineStr">
        <is>
          <t>"pending"</t>
        </is>
      </c>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s="33">
      <c r="A21" s="10" t="inlineStr">
        <is>
          <t>dish_vectors</t>
        </is>
      </c>
      <c r="B21" s="10" t="inlineStr">
        <is>
          <t>attempt_count</t>
        </is>
      </c>
      <c r="C21" s="10" t="inlineStr">
        <is>
          <t>smallint</t>
        </is>
      </c>
      <c r="D21" s="16" t="inlineStr">
        <is>
          <t>NOT NULL</t>
        </is>
      </c>
      <c r="E21" s="10" t="inlineStr">
        <is>
          <t>Số lần sinh vector đã thử. CHECK: ≥ 0</t>
        </is>
      </c>
      <c r="F21" s="10" t="n"/>
      <c r="G21" s="10" t="inlineStr">
        <is>
          <t>0</t>
        </is>
      </c>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s="33">
      <c r="A22" s="10" t="inlineStr">
        <is>
          <t>dish_vectors</t>
        </is>
      </c>
      <c r="B22" s="10" t="inlineStr">
        <is>
          <t>last_error</t>
        </is>
      </c>
      <c r="C22" s="10" t="inlineStr">
        <is>
          <t>text</t>
        </is>
      </c>
      <c r="D22" s="10" t="inlineStr">
        <is>
          <t>NULL</t>
        </is>
      </c>
      <c r="E22" s="10" t="inlineStr">
        <is>
          <t>Lỗi lần sinh gần nhất</t>
        </is>
      </c>
      <c r="F22" s="10" t="n"/>
      <c r="G22" s="10"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s="33">
      <c r="A23" s="10" t="inlineStr">
        <is>
          <t>dish_vectors</t>
        </is>
      </c>
      <c r="B23" s="10" t="inlineStr">
        <is>
          <t>is_active</t>
        </is>
      </c>
      <c r="C23" s="10" t="inlineStr">
        <is>
          <t>boolean</t>
        </is>
      </c>
      <c r="D23" s="16" t="inlineStr">
        <is>
          <t>NOT NULL</t>
        </is>
      </c>
      <c r="E23" s="10" t="inlineStr">
        <is>
          <t>False khi backend xóa/ẩn món</t>
        </is>
      </c>
      <c r="F23" s="10" t="n"/>
      <c r="G23" s="10" t="inlineStr">
        <is>
          <t>true</t>
        </is>
      </c>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s="33">
      <c r="A24" s="10" t="inlineStr">
        <is>
          <t>dish_vectors</t>
        </is>
      </c>
      <c r="B24" s="10" t="inlineStr">
        <is>
          <t>name</t>
        </is>
      </c>
      <c r="C24" s="10" t="inlineStr">
        <is>
          <t>character varying(200)</t>
        </is>
      </c>
      <c r="D24" s="10" t="inlineStr">
        <is>
          <t>NULL</t>
        </is>
      </c>
      <c r="E24" s="10" t="inlineStr">
        <is>
          <t>Tên món đã nhận, dùng để sinh lại vector khi failed</t>
        </is>
      </c>
      <c r="F24" s="10" t="n"/>
      <c r="G24" s="10"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s="33">
      <c r="A25" s="10" t="inlineStr">
        <is>
          <t>dish_vectors</t>
        </is>
      </c>
      <c r="B25" s="10" t="inlineStr">
        <is>
          <t>description</t>
        </is>
      </c>
      <c r="C25" s="10" t="inlineStr">
        <is>
          <t>text</t>
        </is>
      </c>
      <c r="D25" s="10" t="inlineStr">
        <is>
          <t>NULL</t>
        </is>
      </c>
      <c r="E25" s="10" t="inlineStr">
        <is>
          <t>Mô tả món đã nhận</t>
        </is>
      </c>
      <c r="F25" s="10" t="n"/>
      <c r="G25" s="10"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s="33">
      <c r="A26" s="10" t="inlineStr">
        <is>
          <t>dish_vectors</t>
        </is>
      </c>
      <c r="B26" s="10" t="inlineStr">
        <is>
          <t>last_event_at</t>
        </is>
      </c>
      <c r="C26" s="10" t="inlineStr">
        <is>
          <t>timestamp with time zone</t>
        </is>
      </c>
      <c r="D26" s="10" t="inlineStr">
        <is>
          <t>NULL</t>
        </is>
      </c>
      <c r="E26" s="10" t="inlineStr">
        <is>
          <t>Occurred_at của sự kiện mới nhất đã áp dụng; sự kiện cũ hơn (đến trễ) bị bỏ qua</t>
        </is>
      </c>
      <c r="F26" s="10" t="n"/>
      <c r="G26" s="10"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s="33">
      <c r="A27" s="10" t="inlineStr">
        <is>
          <t>dish_vectors</t>
        </is>
      </c>
      <c r="B27" s="10" t="inlineStr">
        <is>
          <t>created_at</t>
        </is>
      </c>
      <c r="C27" s="10" t="inlineStr">
        <is>
          <t>timestamp with time zone</t>
        </is>
      </c>
      <c r="D27" s="16" t="inlineStr">
        <is>
          <t>NOT NULL</t>
        </is>
      </c>
      <c r="E27" s="10" t="inlineStr">
        <is>
          <t>Thời điểm tạo</t>
        </is>
      </c>
      <c r="F27" s="10" t="n"/>
      <c r="G27" s="10" t="inlineStr">
        <is>
          <t>now()</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s="33">
      <c r="A28" s="10" t="inlineStr">
        <is>
          <t>dish_vectors</t>
        </is>
      </c>
      <c r="B28" s="10" t="inlineStr">
        <is>
          <t>updated_at</t>
        </is>
      </c>
      <c r="C28" s="10" t="inlineStr">
        <is>
          <t>timestamp with time zone</t>
        </is>
      </c>
      <c r="D28" s="16" t="inlineStr">
        <is>
          <t>NOT NULL</t>
        </is>
      </c>
      <c r="E28" s="10" t="inlineStr">
        <is>
          <t>Thời điểm cập nhật gần nhất</t>
        </is>
      </c>
      <c r="F28" s="10" t="n"/>
      <c r="G28" s="10" t="inlineStr">
        <is>
          <t>now()</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s="33">
      <c r="A29" s="35" t="inlineStr">
        <is>
          <t>user_preference_vectors  —  Vector user và bộ đếm m, N_total</t>
        </is>
      </c>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s="33">
      <c r="A30" s="10" t="inlineStr">
        <is>
          <t>user_preference_vectors</t>
        </is>
      </c>
      <c r="B30" s="10" t="inlineStr">
        <is>
          <t>user_id</t>
        </is>
      </c>
      <c r="C30" s="10" t="inlineStr">
        <is>
          <t>integer</t>
        </is>
      </c>
      <c r="D30" s="16" t="inlineStr">
        <is>
          <t>NOT NULL</t>
        </is>
      </c>
      <c r="E30" s="10" t="inlineStr">
        <is>
          <t>User (= core.users.id, tham chiếu mềm)</t>
        </is>
      </c>
      <c r="F30" s="10" t="inlineStr">
        <is>
          <t>PK</t>
        </is>
      </c>
      <c r="G30" s="10"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s="33">
      <c r="A31" s="10" t="inlineStr">
        <is>
          <t>user_preference_vectors</t>
        </is>
      </c>
      <c r="B31" s="10" t="inlineStr">
        <is>
          <t>initial_vec</t>
        </is>
      </c>
      <c r="C31" s="10" t="inlineStr">
        <is>
          <t>vector(12)</t>
        </is>
      </c>
      <c r="D31" s="10" t="inlineStr">
        <is>
          <t>NULL</t>
        </is>
      </c>
      <c r="E31" s="10" t="inlineStr">
        <is>
          <t>Từ khảo sát; NULL nếu chưa khảo sát. CHECK: khác vector 0</t>
        </is>
      </c>
      <c r="F31" s="10" t="n"/>
      <c r="G31" s="10"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s="33">
      <c r="A32" s="10" t="inlineStr">
        <is>
          <t>user_preference_vectors</t>
        </is>
      </c>
      <c r="B32" s="10" t="inlineStr">
        <is>
          <t>vec</t>
        </is>
      </c>
      <c r="C32" s="10" t="inlineStr">
        <is>
          <t>vector(12)</t>
        </is>
      </c>
      <c r="D32" s="10" t="inlineStr">
        <is>
          <t>NULL</t>
        </is>
      </c>
      <c r="E32" s="10" t="inlineStr">
        <is>
          <t>Cập nhật online. NULL = chưa có (Explicit = 0). Không lưu vector 0: chưa có vector thì coi User_old = 0, like đầu tiên tạo vector = β_u·Dish, dislike đầu tiên tạo vector = −β_u·Dish. CHECK: khác vector 0</t>
        </is>
      </c>
      <c r="F32" s="10" t="n"/>
      <c r="G32" s="10"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s="33">
      <c r="A33" s="10" t="inlineStr">
        <is>
          <t>user_preference_vectors</t>
        </is>
      </c>
      <c r="B33" s="10" t="inlineStr">
        <is>
          <t>survey_answer_count</t>
        </is>
      </c>
      <c r="C33" s="10" t="inlineStr">
        <is>
          <t>integer</t>
        </is>
      </c>
      <c r="D33" s="16" t="inlineStr">
        <is>
          <t>NOT NULL</t>
        </is>
      </c>
      <c r="E33" s="10" t="inlineStr">
        <is>
          <t>q = số câu trả lời khảo sát. CHECK: survey_answer_count, feedback_count, total_shown ≥ 0</t>
        </is>
      </c>
      <c r="F33" s="10" t="n"/>
      <c r="G33" s="10" t="inlineStr">
        <is>
          <t>0</t>
        </is>
      </c>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s="33">
      <c r="A34" s="10" t="inlineStr">
        <is>
          <t>user_preference_vectors</t>
        </is>
      </c>
      <c r="B34" s="10" t="inlineStr">
        <is>
          <t>feedback_count</t>
        </is>
      </c>
      <c r="C34" s="10" t="inlineStr">
        <is>
          <t>integer</t>
        </is>
      </c>
      <c r="D34" s="16" t="inlineStr">
        <is>
          <t>NOT NULL</t>
        </is>
      </c>
      <c r="E34" s="10" t="inlineStr">
        <is>
          <t>Số lần like/dislike</t>
        </is>
      </c>
      <c r="F34" s="10" t="n"/>
      <c r="G34" s="10" t="inlineStr">
        <is>
          <t>0</t>
        </is>
      </c>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s="33">
      <c r="A35" s="10" t="inlineStr">
        <is>
          <t>user_preference_vectors</t>
        </is>
      </c>
      <c r="B35" s="10" t="inlineStr">
        <is>
          <t>total_interactions</t>
        </is>
      </c>
      <c r="C35" s="10" t="inlineStr">
        <is>
          <t>integer</t>
        </is>
      </c>
      <c r="D35" s="10" t="inlineStr">
        <is>
          <t>NULL</t>
        </is>
      </c>
      <c r="E35" s="10" t="inlineStr">
        <is>
          <t>m = q + số like/dislike (cột tính tự động)</t>
        </is>
      </c>
      <c r="F35" s="10" t="n"/>
      <c r="G35" s="10" t="inlineStr">
        <is>
          <t>(cột tính toán)</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s="33">
      <c r="A36" s="10" t="inlineStr">
        <is>
          <t>user_preference_vectors</t>
        </is>
      </c>
      <c r="B36" s="10" t="inlineStr">
        <is>
          <t>total_shown</t>
        </is>
      </c>
      <c r="C36" s="10" t="inlineStr">
        <is>
          <t>bigint</t>
        </is>
      </c>
      <c r="D36" s="16" t="inlineStr">
        <is>
          <t>NOT NULL</t>
        </is>
      </c>
      <c r="E36" s="10" t="inlineStr">
        <is>
          <t>N_total = tổng số lần các món được hiển thị cho user</t>
        </is>
      </c>
      <c r="F36" s="10" t="n"/>
      <c r="G36" s="10" t="inlineStr">
        <is>
          <t>0</t>
        </is>
      </c>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s="33">
      <c r="A37" s="10" t="inlineStr">
        <is>
          <t>user_preference_vectors</t>
        </is>
      </c>
      <c r="B37" s="10" t="inlineStr">
        <is>
          <t>survey_payload</t>
        </is>
      </c>
      <c r="C37" s="10" t="inlineStr">
        <is>
          <t>jsonb</t>
        </is>
      </c>
      <c r="D37" s="10" t="inlineStr">
        <is>
          <t>NULL</t>
        </is>
      </c>
      <c r="E37" s="10" t="inlineStr">
        <is>
          <t>Câu trả lời thô nhận được</t>
        </is>
      </c>
      <c r="F37" s="10" t="n"/>
      <c r="G37" s="10"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s="33">
      <c r="A38" s="10" t="inlineStr">
        <is>
          <t>user_preference_vectors</t>
        </is>
      </c>
      <c r="B38" s="10" t="inlineStr">
        <is>
          <t>survey_at</t>
        </is>
      </c>
      <c r="C38" s="10" t="inlineStr">
        <is>
          <t>timestamp with time zone</t>
        </is>
      </c>
      <c r="D38" s="10" t="inlineStr">
        <is>
          <t>NULL</t>
        </is>
      </c>
      <c r="E38" s="10" t="inlineStr">
        <is>
          <t>Khác NULL =&gt; đã khảo sát; khảo sát chỉ nhận 1 lần (409 nếu gửi lại)</t>
        </is>
      </c>
      <c r="F38" s="10" t="n"/>
      <c r="G38" s="10"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s="33">
      <c r="A39" s="10" t="inlineStr">
        <is>
          <t>user_preference_vectors</t>
        </is>
      </c>
      <c r="B39" s="10" t="inlineStr">
        <is>
          <t>updated_at</t>
        </is>
      </c>
      <c r="C39" s="10" t="inlineStr">
        <is>
          <t>timestamp with time zone</t>
        </is>
      </c>
      <c r="D39" s="16" t="inlineStr">
        <is>
          <t>NOT NULL</t>
        </is>
      </c>
      <c r="E39" s="10" t="inlineStr">
        <is>
          <t>Thời điểm cập nhật gần nhất</t>
        </is>
      </c>
      <c r="F39" s="10" t="n"/>
      <c r="G39" s="10" t="inlineStr">
        <is>
          <t>now()</t>
        </is>
      </c>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s="33">
      <c r="A40" s="35" t="inlineStr">
        <is>
          <t>user_dish_scores  —  Implicit S, n, N_i theo cặp user-món</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s="33">
      <c r="A41" s="10" t="inlineStr">
        <is>
          <t>user_dish_scores</t>
        </is>
      </c>
      <c r="B41" s="10" t="inlineStr">
        <is>
          <t>user_id</t>
        </is>
      </c>
      <c r="C41" s="10" t="inlineStr">
        <is>
          <t>integer</t>
        </is>
      </c>
      <c r="D41" s="16" t="inlineStr">
        <is>
          <t>NOT NULL</t>
        </is>
      </c>
      <c r="E41" s="10" t="inlineStr">
        <is>
          <t>User (= core.users.id)</t>
        </is>
      </c>
      <c r="F41" s="10" t="inlineStr">
        <is>
          <t>PK (ghép)</t>
        </is>
      </c>
      <c r="G41" s="10"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s="33">
      <c r="A42" s="10" t="inlineStr">
        <is>
          <t>user_dish_scores</t>
        </is>
      </c>
      <c r="B42" s="10" t="inlineStr">
        <is>
          <t>dish_id</t>
        </is>
      </c>
      <c r="C42" s="10" t="inlineStr">
        <is>
          <t>integer</t>
        </is>
      </c>
      <c r="D42" s="16" t="inlineStr">
        <is>
          <t>NOT NULL</t>
        </is>
      </c>
      <c r="E42" s="10" t="inlineStr">
        <is>
          <t>Món (= core.dishes.id)</t>
        </is>
      </c>
      <c r="F42" s="10" t="inlineStr">
        <is>
          <t>PK (ghép)</t>
        </is>
      </c>
      <c r="G42" s="10"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s="33">
      <c r="A43" s="10" t="inlineStr">
        <is>
          <t>user_dish_scores</t>
        </is>
      </c>
      <c r="B43" s="10" t="inlineStr">
        <is>
          <t>implicit_raw</t>
        </is>
      </c>
      <c r="C43" s="10" t="inlineStr">
        <is>
          <t>real</t>
        </is>
      </c>
      <c r="D43" s="16" t="inlineStr">
        <is>
          <t>NOT NULL</t>
        </is>
      </c>
      <c r="E43" s="10" t="inlineStr">
        <is>
          <t>r = tổng β_s·w của các lần like/dislike, không nén. Implicit tính từ cột này</t>
        </is>
      </c>
      <c r="F43" s="10" t="n"/>
      <c r="G43" s="10" t="inlineStr">
        <is>
          <t>0</t>
        </is>
      </c>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s="33">
      <c r="A44" s="10" t="inlineStr">
        <is>
          <t>user_dish_scores</t>
        </is>
      </c>
      <c r="B44" s="10" t="inlineStr">
        <is>
          <t>implicit_score</t>
        </is>
      </c>
      <c r="C44" s="10" t="inlineStr">
        <is>
          <t>real</t>
        </is>
      </c>
      <c r="D44" s="16" t="inlineStr">
        <is>
          <t>NOT NULL</t>
        </is>
      </c>
      <c r="E44" s="10" t="inlineStr">
        <is>
          <t>Implicit = 0,5 + 0,5·r/(1+|r|), tính lại từ implicit_raw mỗi lần cập nhật (không nén chồng lên giá trị cũ). CHECK: 0 ≤ implicit_score ≤ 1</t>
        </is>
      </c>
      <c r="F44" s="10" t="n"/>
      <c r="G44" s="10" t="inlineStr">
        <is>
          <t>0.5</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s="33">
      <c r="A45" s="10" t="inlineStr">
        <is>
          <t>user_dish_scores</t>
        </is>
      </c>
      <c r="B45" s="10" t="inlineStr">
        <is>
          <t>interaction_count</t>
        </is>
      </c>
      <c r="C45" s="10" t="inlineStr">
        <is>
          <t>integer</t>
        </is>
      </c>
      <c r="D45" s="16" t="inlineStr">
        <is>
          <t>NOT NULL</t>
        </is>
      </c>
      <c r="E45" s="10" t="inlineStr">
        <is>
          <t>n = số lần user like/dislike món này. CHECK: interaction_count, shown_count ≥ 0</t>
        </is>
      </c>
      <c r="F45" s="10" t="n"/>
      <c r="G45" s="10" t="inlineStr">
        <is>
          <t>0</t>
        </is>
      </c>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s="33">
      <c r="A46" s="10" t="inlineStr">
        <is>
          <t>user_dish_scores</t>
        </is>
      </c>
      <c r="B46" s="10" t="inlineStr">
        <is>
          <t>shown_count</t>
        </is>
      </c>
      <c r="C46" s="10" t="inlineStr">
        <is>
          <t>integer</t>
        </is>
      </c>
      <c r="D46" s="16" t="inlineStr">
        <is>
          <t>NOT NULL</t>
        </is>
      </c>
      <c r="E46" s="10" t="inlineStr">
        <is>
          <t>N_i = số lần món được hiển thị cho user</t>
        </is>
      </c>
      <c r="F46" s="10" t="n"/>
      <c r="G46" s="10" t="inlineStr">
        <is>
          <t>0</t>
        </is>
      </c>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s="33">
      <c r="A47" s="10" t="inlineStr">
        <is>
          <t>user_dish_scores</t>
        </is>
      </c>
      <c r="B47" s="10" t="inlineStr">
        <is>
          <t>last_feedback</t>
        </is>
      </c>
      <c r="C47" s="10" t="inlineStr">
        <is>
          <t>smallint</t>
        </is>
      </c>
      <c r="D47" s="10" t="inlineStr">
        <is>
          <t>NULL</t>
        </is>
      </c>
      <c r="E47" s="10" t="inlineStr">
        <is>
          <t>Phiếu hiện tại trong dish_stats. CHECK: 1 (like) hoặc -1 (dislike)</t>
        </is>
      </c>
      <c r="F47" s="10" t="n"/>
      <c r="G47" s="10"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s="33">
      <c r="A48" s="10" t="inlineStr">
        <is>
          <t>user_dish_scores</t>
        </is>
      </c>
      <c r="B48" s="10" t="inlineStr">
        <is>
          <t>last_feedback_at</t>
        </is>
      </c>
      <c r="C48" s="10" t="inlineStr">
        <is>
          <t>timestamp with time zone</t>
        </is>
      </c>
      <c r="D48" s="10" t="inlineStr">
        <is>
          <t>NULL</t>
        </is>
      </c>
      <c r="E48" s="10" t="inlineStr">
        <is>
          <t>Thời điểm phản hồi gần nhất</t>
        </is>
      </c>
      <c r="F48" s="10" t="n"/>
      <c r="G48" s="10"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s="33">
      <c r="A49" s="10" t="inlineStr">
        <is>
          <t>user_dish_scores</t>
        </is>
      </c>
      <c r="B49" s="10" t="inlineStr">
        <is>
          <t>updated_at</t>
        </is>
      </c>
      <c r="C49" s="10" t="inlineStr">
        <is>
          <t>timestamp with time zone</t>
        </is>
      </c>
      <c r="D49" s="16" t="inlineStr">
        <is>
          <t>NOT NULL</t>
        </is>
      </c>
      <c r="E49" s="10" t="inlineStr">
        <is>
          <t>Thời điểm cập nhật gần nhất</t>
        </is>
      </c>
      <c r="F49" s="10" t="n"/>
      <c r="G49" s="10" t="inlineStr">
        <is>
          <t>now()</t>
        </is>
      </c>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s="33">
      <c r="A50" s="35" t="inlineStr">
        <is>
          <t>dish_stats  —  Like/dislike cộng đồng cho Wilson</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s="33">
      <c r="A51" s="10" t="inlineStr">
        <is>
          <t>dish_stats</t>
        </is>
      </c>
      <c r="B51" s="10" t="inlineStr">
        <is>
          <t>dish_id</t>
        </is>
      </c>
      <c r="C51" s="10" t="inlineStr">
        <is>
          <t>integer</t>
        </is>
      </c>
      <c r="D51" s="16" t="inlineStr">
        <is>
          <t>NOT NULL</t>
        </is>
      </c>
      <c r="E51" s="10" t="inlineStr">
        <is>
          <t>Món (= core.dishes.id, tham chiếu mềm)</t>
        </is>
      </c>
      <c r="F51" s="10" t="inlineStr">
        <is>
          <t>PK</t>
        </is>
      </c>
      <c r="G51" s="10"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s="33">
      <c r="A52" s="10" t="inlineStr">
        <is>
          <t>dish_stats</t>
        </is>
      </c>
      <c r="B52" s="10" t="inlineStr">
        <is>
          <t>like_count</t>
        </is>
      </c>
      <c r="C52" s="10" t="inlineStr">
        <is>
          <t>integer</t>
        </is>
      </c>
      <c r="D52" s="16" t="inlineStr">
        <is>
          <t>NOT NULL</t>
        </is>
      </c>
      <c r="E52" s="10" t="inlineStr">
        <is>
          <t>Số user đang like (mỗi user 1 phiếu theo phản hồi gần nhất). CHECK: like_count, dislike_count ≥ 0</t>
        </is>
      </c>
      <c r="F52" s="10" t="n"/>
      <c r="G52" s="10" t="inlineStr">
        <is>
          <t>0</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s="33">
      <c r="A53" s="10" t="inlineStr">
        <is>
          <t>dish_stats</t>
        </is>
      </c>
      <c r="B53" s="10" t="inlineStr">
        <is>
          <t>dislike_count</t>
        </is>
      </c>
      <c r="C53" s="10" t="inlineStr">
        <is>
          <t>integer</t>
        </is>
      </c>
      <c r="D53" s="16" t="inlineStr">
        <is>
          <t>NOT NULL</t>
        </is>
      </c>
      <c r="E53" s="10" t="inlineStr">
        <is>
          <t>Số user đang dislike</t>
        </is>
      </c>
      <c r="F53" s="10" t="n"/>
      <c r="G53" s="10" t="inlineStr">
        <is>
          <t>0</t>
        </is>
      </c>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s="33">
      <c r="A54" s="10" t="inlineStr">
        <is>
          <t>dish_stats</t>
        </is>
      </c>
      <c r="B54" s="10" t="inlineStr">
        <is>
          <t>updated_at</t>
        </is>
      </c>
      <c r="C54" s="10" t="inlineStr">
        <is>
          <t>timestamp with time zone</t>
        </is>
      </c>
      <c r="D54" s="16" t="inlineStr">
        <is>
          <t>NOT NULL</t>
        </is>
      </c>
      <c r="E54" s="10" t="inlineStr">
        <is>
          <t>Thời điểm cập nhật gần nhất</t>
        </is>
      </c>
      <c r="F54" s="10" t="n"/>
      <c r="G54" s="10" t="inlineStr">
        <is>
          <t>now()</t>
        </is>
      </c>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s="33">
      <c r="A55" s="35" t="inlineStr">
        <is>
          <t>interaction_events  —  Log like/dislike append-only (nguồn sự thật)</t>
        </is>
      </c>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s="33">
      <c r="A56" s="10" t="inlineStr">
        <is>
          <t>interaction_events</t>
        </is>
      </c>
      <c r="B56" s="10" t="inlineStr">
        <is>
          <t>id</t>
        </is>
      </c>
      <c r="C56" s="10" t="inlineStr">
        <is>
          <t>bigint</t>
        </is>
      </c>
      <c r="D56" s="16" t="inlineStr">
        <is>
          <t>NOT NULL</t>
        </is>
      </c>
      <c r="E56" s="10" t="inlineStr">
        <is>
          <t>Khóa chính</t>
        </is>
      </c>
      <c r="F56" s="10" t="inlineStr">
        <is>
          <t>PK</t>
        </is>
      </c>
      <c r="G56" s="10"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s="33">
      <c r="A57" s="10" t="inlineStr">
        <is>
          <t>interaction_events</t>
        </is>
      </c>
      <c r="B57" s="10" t="inlineStr">
        <is>
          <t>event_uuid</t>
        </is>
      </c>
      <c r="C57" s="10" t="inlineStr">
        <is>
          <t>uuid</t>
        </is>
      </c>
      <c r="D57" s="16" t="inlineStr">
        <is>
          <t>NOT NULL</t>
        </is>
      </c>
      <c r="E57" s="10" t="inlineStr">
        <is>
          <t>Bằng core.dish_feedbacks.event_uuid, chống ghi trùng khi backend retry</t>
        </is>
      </c>
      <c r="F57" s="10" t="inlineStr">
        <is>
          <t>UK</t>
        </is>
      </c>
      <c r="G57" s="10"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s="33">
      <c r="A58" s="10" t="inlineStr">
        <is>
          <t>interaction_events</t>
        </is>
      </c>
      <c r="B58" s="10" t="inlineStr">
        <is>
          <t>user_id</t>
        </is>
      </c>
      <c r="C58" s="10" t="inlineStr">
        <is>
          <t>integer</t>
        </is>
      </c>
      <c r="D58" s="16" t="inlineStr">
        <is>
          <t>NOT NULL</t>
        </is>
      </c>
      <c r="E58" s="10" t="inlineStr">
        <is>
          <t>User (= core.users.id). Index (user_id, occurred_at) để replay theo user</t>
        </is>
      </c>
      <c r="F58" s="10" t="n"/>
      <c r="G58" s="10"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s="33">
      <c r="A59" s="10" t="inlineStr">
        <is>
          <t>interaction_events</t>
        </is>
      </c>
      <c r="B59" s="10" t="inlineStr">
        <is>
          <t>dish_id</t>
        </is>
      </c>
      <c r="C59" s="10" t="inlineStr">
        <is>
          <t>integer</t>
        </is>
      </c>
      <c r="D59" s="16" t="inlineStr">
        <is>
          <t>NOT NULL</t>
        </is>
      </c>
      <c r="E59" s="10" t="inlineStr">
        <is>
          <t>Món (= core.dishes.id)</t>
        </is>
      </c>
      <c r="F59" s="10" t="n"/>
      <c r="G59" s="10"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s="33">
      <c r="A60" s="10" t="inlineStr">
        <is>
          <t>interaction_events</t>
        </is>
      </c>
      <c r="B60" s="10" t="inlineStr">
        <is>
          <t>event_type</t>
        </is>
      </c>
      <c r="C60" s="10" t="inlineStr">
        <is>
          <t>character varying(10)</t>
        </is>
      </c>
      <c r="D60" s="16" t="inlineStr">
        <is>
          <t>NOT NULL</t>
        </is>
      </c>
      <c r="E60" s="10" t="inlineStr">
        <is>
          <t>like hoặc dislike. CHECK theo giá trị trên</t>
        </is>
      </c>
      <c r="F60" s="10" t="n"/>
      <c r="G60" s="10"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s="33">
      <c r="A61" s="10" t="inlineStr">
        <is>
          <t>interaction_events</t>
        </is>
      </c>
      <c r="B61" s="10" t="inlineStr">
        <is>
          <t>w</t>
        </is>
      </c>
      <c r="C61" s="10" t="inlineStr">
        <is>
          <t>smallint</t>
        </is>
      </c>
      <c r="D61" s="16" t="inlineStr">
        <is>
          <t>NOT NULL</t>
        </is>
      </c>
      <c r="E61" s="10" t="inlineStr">
        <is>
          <t>+1 (like) hoặc -1 (dislike). CHECK: like đi với +1, dislike đi với -1</t>
        </is>
      </c>
      <c r="F61" s="10" t="n"/>
      <c r="G61" s="10"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s="33">
      <c r="A62" s="10" t="inlineStr">
        <is>
          <t>interaction_events</t>
        </is>
      </c>
      <c r="B62" s="10" t="inlineStr">
        <is>
          <t>request_id</t>
        </is>
      </c>
      <c r="C62" s="10" t="inlineStr">
        <is>
          <t>uuid</t>
        </is>
      </c>
      <c r="D62" s="10" t="inlineStr">
        <is>
          <t>NULL</t>
        </is>
      </c>
      <c r="E62" s="10" t="inlineStr">
        <is>
          <t>Recommendation_logs.request_id nếu có</t>
        </is>
      </c>
      <c r="F62" s="10" t="n"/>
      <c r="G62" s="10"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s="33">
      <c r="A63" s="10" t="inlineStr">
        <is>
          <t>interaction_events</t>
        </is>
      </c>
      <c r="B63" s="10" t="inlineStr">
        <is>
          <t>config_version</t>
        </is>
      </c>
      <c r="C63" s="10" t="inlineStr">
        <is>
          <t>integer</t>
        </is>
      </c>
      <c r="D63" s="10" t="inlineStr">
        <is>
          <t>NULL</t>
        </is>
      </c>
      <c r="E63" s="10" t="inlineStr">
        <is>
          <t>Cấu hình thuật toán lúc xử lý</t>
        </is>
      </c>
      <c r="F63" s="10" t="inlineStr">
        <is>
          <t>FK → algorithm_configs</t>
        </is>
      </c>
      <c r="G63" s="10"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s="33">
      <c r="A64" s="10" t="inlineStr">
        <is>
          <t>interaction_events</t>
        </is>
      </c>
      <c r="B64" s="10" t="inlineStr">
        <is>
          <t>occurred_at</t>
        </is>
      </c>
      <c r="C64" s="10" t="inlineStr">
        <is>
          <t>timestamp with time zone</t>
        </is>
      </c>
      <c r="D64" s="16" t="inlineStr">
        <is>
          <t>NOT NULL</t>
        </is>
      </c>
      <c r="E64" s="10" t="inlineStr">
        <is>
          <t>Thời điểm user bấm (backend gửi)</t>
        </is>
      </c>
      <c r="F64" s="10" t="n"/>
      <c r="G64" s="10"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s="33">
      <c r="A65" s="10" t="inlineStr">
        <is>
          <t>interaction_events</t>
        </is>
      </c>
      <c r="B65" s="10" t="inlineStr">
        <is>
          <t>received_at</t>
        </is>
      </c>
      <c r="C65" s="10" t="inlineStr">
        <is>
          <t>timestamp with time zone</t>
        </is>
      </c>
      <c r="D65" s="16" t="inlineStr">
        <is>
          <t>NOT NULL</t>
        </is>
      </c>
      <c r="E65" s="10" t="inlineStr">
        <is>
          <t>Thời điểm reco nhận</t>
        </is>
      </c>
      <c r="F65" s="10" t="n"/>
      <c r="G65" s="10" t="inlineStr">
        <is>
          <t>now()</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s="33">
      <c r="A66" s="35" t="inlineStr">
        <is>
          <t>recommendation_logs  —  Mỗi lần gọi /recommendations</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33">
      <c r="A67" s="10" t="inlineStr">
        <is>
          <t>recommendation_logs</t>
        </is>
      </c>
      <c r="B67" s="10" t="inlineStr">
        <is>
          <t>request_id</t>
        </is>
      </c>
      <c r="C67" s="10" t="inlineStr">
        <is>
          <t>uuid</t>
        </is>
      </c>
      <c r="D67" s="16" t="inlineStr">
        <is>
          <t>NOT NULL</t>
        </is>
      </c>
      <c r="E67" s="10" t="inlineStr">
        <is>
          <t>Khóa chính lần gợi ý, trả về cho backend</t>
        </is>
      </c>
      <c r="F67" s="10" t="inlineStr">
        <is>
          <t>PK</t>
        </is>
      </c>
      <c r="G67" s="10" t="inlineStr">
        <is>
          <t>gen_random_uuid()</t>
        </is>
      </c>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33">
      <c r="A68" s="10" t="inlineStr">
        <is>
          <t>recommendation_logs</t>
        </is>
      </c>
      <c r="B68" s="10" t="inlineStr">
        <is>
          <t>user_id</t>
        </is>
      </c>
      <c r="C68" s="10" t="inlineStr">
        <is>
          <t>integer</t>
        </is>
      </c>
      <c r="D68" s="16" t="inlineStr">
        <is>
          <t>NOT NULL</t>
        </is>
      </c>
      <c r="E68" s="10" t="inlineStr">
        <is>
          <t>User được gợi ý. Index (user_id, created_at)</t>
        </is>
      </c>
      <c r="F68" s="10" t="n"/>
      <c r="G68" s="10"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33">
      <c r="A69" s="10" t="inlineStr">
        <is>
          <t>recommendation_logs</t>
        </is>
      </c>
      <c r="B69" s="10" t="inlineStr">
        <is>
          <t>config_version</t>
        </is>
      </c>
      <c r="C69" s="10" t="inlineStr">
        <is>
          <t>integer</t>
        </is>
      </c>
      <c r="D69" s="16" t="inlineStr">
        <is>
          <t>NOT NULL</t>
        </is>
      </c>
      <c r="E69" s="10" t="inlineStr">
        <is>
          <t>Cấu hình thuật toán đã dùng</t>
        </is>
      </c>
      <c r="F69" s="10" t="inlineStr">
        <is>
          <t>FK → algorithm_configs</t>
        </is>
      </c>
      <c r="G69" s="10"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33">
      <c r="A70" s="10" t="inlineStr">
        <is>
          <t>recommendation_logs</t>
        </is>
      </c>
      <c r="B70" s="10" t="inlineStr">
        <is>
          <t>context</t>
        </is>
      </c>
      <c r="C70" s="10" t="inlineStr">
        <is>
          <t>character varying(20)</t>
        </is>
      </c>
      <c r="D70" s="16" t="inlineStr">
        <is>
          <t>NOT NULL</t>
        </is>
      </c>
      <c r="E70" s="10" t="inlineStr">
        <is>
          <t>list, home, roll, roadmap_manual, roadmap_ai. CHECK theo giá trị trên</t>
        </is>
      </c>
      <c r="F70" s="10" t="n"/>
      <c r="G70" s="10" t="inlineStr">
        <is>
          <t>"list"</t>
        </is>
      </c>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33">
      <c r="A71" s="10" t="inlineStr">
        <is>
          <t>recommendation_logs</t>
        </is>
      </c>
      <c r="B71" s="10" t="inlineStr">
        <is>
          <t>m</t>
        </is>
      </c>
      <c r="C71" s="10" t="inlineStr">
        <is>
          <t>integer</t>
        </is>
      </c>
      <c r="D71" s="16" t="inlineStr">
        <is>
          <t>NOT NULL</t>
        </is>
      </c>
      <c r="E71" s="10" t="inlineStr">
        <is>
          <t>m = tổng tương tác của user lúc gợi ý</t>
        </is>
      </c>
      <c r="F71" s="10" t="n"/>
      <c r="G71" s="10"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33">
      <c r="A72" s="10" t="inlineStr">
        <is>
          <t>recommendation_logs</t>
        </is>
      </c>
      <c r="B72" s="10" t="inlineStr">
        <is>
          <t>n_total</t>
        </is>
      </c>
      <c r="C72" s="10" t="inlineStr">
        <is>
          <t>bigint</t>
        </is>
      </c>
      <c r="D72" s="16" t="inlineStr">
        <is>
          <t>NOT NULL</t>
        </is>
      </c>
      <c r="E72" s="10" t="inlineStr">
        <is>
          <t>N_total lúc gợi ý</t>
        </is>
      </c>
      <c r="F72" s="10" t="n"/>
      <c r="G72" s="10"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33">
      <c r="A73" s="10" t="inlineStr">
        <is>
          <t>recommendation_logs</t>
        </is>
      </c>
      <c r="B73" s="10" t="inlineStr">
        <is>
          <t>delta</t>
        </is>
      </c>
      <c r="C73" s="10" t="inlineStr">
        <is>
          <t>real</t>
        </is>
      </c>
      <c r="D73" s="16" t="inlineStr">
        <is>
          <t>NOT NULL</t>
        </is>
      </c>
      <c r="E73" s="10" t="inlineStr">
        <is>
          <t>Δ = m/(m+k')</t>
        </is>
      </c>
      <c r="F73" s="10" t="n"/>
      <c r="G73" s="10"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33">
      <c r="A74" s="10" t="inlineStr">
        <is>
          <t>recommendation_logs</t>
        </is>
      </c>
      <c r="B74" s="10" t="inlineStr">
        <is>
          <t>candidate_count</t>
        </is>
      </c>
      <c r="C74" s="10" t="inlineStr">
        <is>
          <t>integer</t>
        </is>
      </c>
      <c r="D74" s="16" t="inlineStr">
        <is>
          <t>NOT NULL</t>
        </is>
      </c>
      <c r="E74" s="10" t="inlineStr">
        <is>
          <t>Số món ứng viên backend gửi</t>
        </is>
      </c>
      <c r="F74" s="10" t="n"/>
      <c r="G74" s="10"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33">
      <c r="A75" s="10" t="inlineStr">
        <is>
          <t>recommendation_logs</t>
        </is>
      </c>
      <c r="B75" s="10" t="inlineStr">
        <is>
          <t>top_k</t>
        </is>
      </c>
      <c r="C75" s="10" t="inlineStr">
        <is>
          <t>integer</t>
        </is>
      </c>
      <c r="D75" s="16" t="inlineStr">
        <is>
          <t>NOT NULL</t>
        </is>
      </c>
      <c r="E75" s="10" t="inlineStr">
        <is>
          <t>Số món trả về</t>
        </is>
      </c>
      <c r="F75" s="10" t="n"/>
      <c r="G75" s="10"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33">
      <c r="A76" s="10" t="inlineStr">
        <is>
          <t>recommendation_logs</t>
        </is>
      </c>
      <c r="B76" s="10" t="inlineStr">
        <is>
          <t>latency_ms</t>
        </is>
      </c>
      <c r="C76" s="10" t="inlineStr">
        <is>
          <t>integer</t>
        </is>
      </c>
      <c r="D76" s="10" t="inlineStr">
        <is>
          <t>NULL</t>
        </is>
      </c>
      <c r="E76" s="10" t="inlineStr">
        <is>
          <t>Thời gian xử lý (ms)</t>
        </is>
      </c>
      <c r="F76" s="10" t="n"/>
      <c r="G76" s="10"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33">
      <c r="A77" s="10" t="inlineStr">
        <is>
          <t>recommendation_logs</t>
        </is>
      </c>
      <c r="B77" s="10" t="inlineStr">
        <is>
          <t>created_at</t>
        </is>
      </c>
      <c r="C77" s="10" t="inlineStr">
        <is>
          <t>timestamp with time zone</t>
        </is>
      </c>
      <c r="D77" s="16" t="inlineStr">
        <is>
          <t>NOT NULL</t>
        </is>
      </c>
      <c r="E77" s="10" t="inlineStr">
        <is>
          <t>Thời điểm tạo</t>
        </is>
      </c>
      <c r="F77" s="10" t="n"/>
      <c r="G77" s="10" t="inlineStr">
        <is>
          <t>now()</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33">
      <c r="A78" s="35" t="inlineStr">
        <is>
          <t>recommendation_items  —  Điểm từng tầng của từng món trong một lần gợi ý</t>
        </is>
      </c>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33">
      <c r="A79" s="10" t="inlineStr">
        <is>
          <t>recommendation_items</t>
        </is>
      </c>
      <c r="B79" s="10" t="inlineStr">
        <is>
          <t>request_id</t>
        </is>
      </c>
      <c r="C79" s="10" t="inlineStr">
        <is>
          <t>uuid</t>
        </is>
      </c>
      <c r="D79" s="16" t="inlineStr">
        <is>
          <t>NOT NULL</t>
        </is>
      </c>
      <c r="E79" s="10" t="inlineStr">
        <is>
          <t>Lần gợi ý</t>
        </is>
      </c>
      <c r="F79" s="10" t="inlineStr">
        <is>
          <t>PK (ghép), FK → recommendation_logs (ON DELETE CASCADE)</t>
        </is>
      </c>
      <c r="G79" s="10"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33">
      <c r="A80" s="10" t="inlineStr">
        <is>
          <t>recommendation_items</t>
        </is>
      </c>
      <c r="B80" s="10" t="inlineStr">
        <is>
          <t>dish_id</t>
        </is>
      </c>
      <c r="C80" s="10" t="inlineStr">
        <is>
          <t>integer</t>
        </is>
      </c>
      <c r="D80" s="16" t="inlineStr">
        <is>
          <t>NOT NULL</t>
        </is>
      </c>
      <c r="E80" s="10" t="inlineStr">
        <is>
          <t>Món ứng viên</t>
        </is>
      </c>
      <c r="F80" s="10" t="inlineStr">
        <is>
          <t>PK (ghép)</t>
        </is>
      </c>
      <c r="G80" s="10"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33">
      <c r="A81" s="10" t="inlineStr">
        <is>
          <t>recommendation_items</t>
        </is>
      </c>
      <c r="B81" s="10" t="inlineStr">
        <is>
          <t>rank</t>
        </is>
      </c>
      <c r="C81" s="10" t="inlineStr">
        <is>
          <t>integer</t>
        </is>
      </c>
      <c r="D81" s="16" t="inlineStr">
        <is>
          <t>NOT NULL</t>
        </is>
      </c>
      <c r="E81" s="10" t="inlineStr">
        <is>
          <t>Thứ hạng trong toàn bộ tập ứng viên; bằng điểm thì giữ thứ tự backend gửi (đã sắp theo rating quán)</t>
        </is>
      </c>
      <c r="F81" s="10" t="n"/>
      <c r="G81" s="10"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33">
      <c r="A82" s="10" t="inlineStr">
        <is>
          <t>recommendation_items</t>
        </is>
      </c>
      <c r="B82" s="10" t="inlineStr">
        <is>
          <t>is_returned</t>
        </is>
      </c>
      <c r="C82" s="10" t="inlineStr">
        <is>
          <t>boolean</t>
        </is>
      </c>
      <c r="D82" s="16" t="inlineStr">
        <is>
          <t>NOT NULL</t>
        </is>
      </c>
      <c r="E82" s="10" t="inlineStr">
        <is>
          <t>Nằm trong top_k trả về backend</t>
        </is>
      </c>
      <c r="F82" s="10" t="n"/>
      <c r="G82" s="10"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33">
      <c r="A83" s="10" t="inlineStr">
        <is>
          <t>recommendation_items</t>
        </is>
      </c>
      <c r="B83" s="10" t="inlineStr">
        <is>
          <t>cosine_sim</t>
        </is>
      </c>
      <c r="C83" s="10" t="inlineStr">
        <is>
          <t>real</t>
        </is>
      </c>
      <c r="D83" s="10" t="inlineStr">
        <is>
          <t>NULL</t>
        </is>
      </c>
      <c r="E83" s="10" t="inlineStr">
        <is>
          <t>NULL nếu user chưa có vector</t>
        </is>
      </c>
      <c r="F83" s="10" t="n"/>
      <c r="G83" s="10"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33">
      <c r="A84" s="10" t="inlineStr">
        <is>
          <t>recommendation_items</t>
        </is>
      </c>
      <c r="B84" s="10" t="inlineStr">
        <is>
          <t>explicit_score</t>
        </is>
      </c>
      <c r="C84" s="10" t="inlineStr">
        <is>
          <t>real</t>
        </is>
      </c>
      <c r="D84" s="16" t="inlineStr">
        <is>
          <t>NOT NULL</t>
        </is>
      </c>
      <c r="E84" s="10" t="inlineStr">
        <is>
          <t>Explicit = MinMax của cosine trên tập ứng viên</t>
        </is>
      </c>
      <c r="F84" s="10" t="n"/>
      <c r="G84" s="10"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33">
      <c r="A85" s="10" t="inlineStr">
        <is>
          <t>recommendation_items</t>
        </is>
      </c>
      <c r="B85" s="10" t="inlineStr">
        <is>
          <t>implicit_score</t>
        </is>
      </c>
      <c r="C85" s="10" t="inlineStr">
        <is>
          <t>real</t>
        </is>
      </c>
      <c r="D85" s="16" t="inlineStr">
        <is>
          <t>NOT NULL</t>
        </is>
      </c>
      <c r="E85" s="10" t="inlineStr">
        <is>
          <t>Implicit S tại thời điểm gợi ý</t>
        </is>
      </c>
      <c r="F85" s="10" t="n"/>
      <c r="G85" s="10"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33">
      <c r="A86" s="10" t="inlineStr">
        <is>
          <t>recommendation_items</t>
        </is>
      </c>
      <c r="B86" s="10" t="inlineStr">
        <is>
          <t>alpha</t>
        </is>
      </c>
      <c r="C86" s="10" t="inlineStr">
        <is>
          <t>real</t>
        </is>
      </c>
      <c r="D86" s="16" t="inlineStr">
        <is>
          <t>NOT NULL</t>
        </is>
      </c>
      <c r="E86" s="10" t="inlineStr">
        <is>
          <t>α = n/(n+k)</t>
        </is>
      </c>
      <c r="F86" s="10" t="n"/>
      <c r="G86" s="10"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33">
      <c r="A87" s="10" t="inlineStr">
        <is>
          <t>recommendation_items</t>
        </is>
      </c>
      <c r="B87" s="10" t="inlineStr">
        <is>
          <t>personalized</t>
        </is>
      </c>
      <c r="C87" s="10" t="inlineStr">
        <is>
          <t>real</t>
        </is>
      </c>
      <c r="D87" s="16" t="inlineStr">
        <is>
          <t>NOT NULL</t>
        </is>
      </c>
      <c r="E87" s="10" t="inlineStr">
        <is>
          <t>(1−α)·Explicit + α·Implicit</t>
        </is>
      </c>
      <c r="F87" s="10" t="n"/>
      <c r="G87" s="10"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33">
      <c r="A88" s="10" t="inlineStr">
        <is>
          <t>recommendation_items</t>
        </is>
      </c>
      <c r="B88" s="10" t="inlineStr">
        <is>
          <t>wilson</t>
        </is>
      </c>
      <c r="C88" s="10" t="inlineStr">
        <is>
          <t>real</t>
        </is>
      </c>
      <c r="D88" s="16" t="inlineStr">
        <is>
          <t>NOT NULL</t>
        </is>
      </c>
      <c r="E88" s="10" t="inlineStr">
        <is>
          <t>Pooled Wilson Score</t>
        </is>
      </c>
      <c r="F88" s="10" t="n"/>
      <c r="G88" s="10"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33">
      <c r="A89" s="10" t="inlineStr">
        <is>
          <t>recommendation_items</t>
        </is>
      </c>
      <c r="B89" s="10" t="inlineStr">
        <is>
          <t>final_score</t>
        </is>
      </c>
      <c r="C89" s="10" t="inlineStr">
        <is>
          <t>real</t>
        </is>
      </c>
      <c r="D89" s="16" t="inlineStr">
        <is>
          <t>NOT NULL</t>
        </is>
      </c>
      <c r="E89" s="10" t="inlineStr">
        <is>
          <t>Δ·Personalized + (1−Δ)·Wilson</t>
        </is>
      </c>
      <c r="F89" s="10" t="n"/>
      <c r="G89" s="10"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33">
      <c r="A90" s="10" t="inlineStr">
        <is>
          <t>recommendation_items</t>
        </is>
      </c>
      <c r="B90" s="10" t="inlineStr">
        <is>
          <t>exploration</t>
        </is>
      </c>
      <c r="C90" s="10" t="inlineStr">
        <is>
          <t>real</t>
        </is>
      </c>
      <c r="D90" s="16" t="inlineStr">
        <is>
          <t>NOT NULL</t>
        </is>
      </c>
      <c r="E90" s="10" t="inlineStr">
        <is>
          <t>Exploration Score (UCB, SoftSign)</t>
        </is>
      </c>
      <c r="F90" s="10" t="n"/>
      <c r="G90" s="10"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33">
      <c r="A91" s="10" t="inlineStr">
        <is>
          <t>recommendation_items</t>
        </is>
      </c>
      <c r="B91" s="10" t="inlineStr">
        <is>
          <t>recommend_score</t>
        </is>
      </c>
      <c r="C91" s="10" t="inlineStr">
        <is>
          <t>real</t>
        </is>
      </c>
      <c r="D91" s="16" t="inlineStr">
        <is>
          <t>NOT NULL</t>
        </is>
      </c>
      <c r="E91" s="10" t="inlineStr">
        <is>
          <t>(1−γ)·Final + γ·Exploration, dùng để xếp hạng</t>
        </is>
      </c>
      <c r="F91" s="10" t="n"/>
      <c r="G91" s="10"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33">
      <c r="A92" s="10" t="inlineStr">
        <is>
          <t>recommendation_items</t>
        </is>
      </c>
      <c r="B92" s="10" t="inlineStr">
        <is>
          <t>shown_at</t>
        </is>
      </c>
      <c r="C92" s="10" t="inlineStr">
        <is>
          <t>timestamp with time zone</t>
        </is>
      </c>
      <c r="D92" s="10" t="inlineStr">
        <is>
          <t>NULL</t>
        </is>
      </c>
      <c r="E92" s="10" t="inlineStr">
        <is>
          <t>Lần đầu món này hiển thị cho user (POST /impressions); NULL = chưa thấy</t>
        </is>
      </c>
      <c r="F92" s="10" t="n"/>
      <c r="G92" s="10"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3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33">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33">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33">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33">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33">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33">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33">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33">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33">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3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33">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33">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33">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33">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33">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33">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33">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33">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33">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3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33">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33">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33">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33">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33">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33">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33">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33">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33">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3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33">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33">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33">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33">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33">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33">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33">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33">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33">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33">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33">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33">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33">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33">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33">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33">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33">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33">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3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33">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33">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33">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33">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33">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33">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33">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33">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33">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3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33">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33">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33">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33">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33">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33">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33">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33">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33">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3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33">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33">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33">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33">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33">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33">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33">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33">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33">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3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33">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33">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33">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33">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33">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33">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33">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33">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33">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3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33">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33">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33">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33">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33">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33">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33">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33">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33">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3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33">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33">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33">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33">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33">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33">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33">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33">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33">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3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33">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33">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33">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33">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33">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33">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33">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33">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33">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3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33">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33">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33">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33">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33">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33">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33">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33">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33">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3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33">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33">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33">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33">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33">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33">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33">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33">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33">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33">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33">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33">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33">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33">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33">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33">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33">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33">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3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33">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33">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33">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33">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33">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33">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33">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33">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33">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3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33">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33">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33">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33">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33">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33">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33">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33">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33">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3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33">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33">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33">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33">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33">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33">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33">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33">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33">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3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33">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33">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33">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33">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33">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33">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33">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33">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33">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3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33">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33">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33">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33">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33">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33">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33">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33">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33">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3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33">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33">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33">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33">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33">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33">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33">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33">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33">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3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33">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33">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33">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33">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33">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33">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33">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33">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33">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3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33">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33">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33">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33">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33">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33">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33">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33">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33">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3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33">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33">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33">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33">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33">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33">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33">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33">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33">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33">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33">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33">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33">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33">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33">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33">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33">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33">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3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33">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33">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33">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33">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33">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33">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33">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33">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33">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3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33">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33">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33">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33">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33">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33">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33">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33">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33">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3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33">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33">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33">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33">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33">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33">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33">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33">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33">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3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33">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33">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33">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33">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33">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33">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33">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33">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33">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3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33">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33">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33">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33">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33">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33">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33">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33">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33">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3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33">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33">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33">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33">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33">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33">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33">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33">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33">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3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33">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33">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33">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33">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33">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33">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33">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33">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33">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3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33">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33">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33">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33">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33">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33">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33">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33">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33">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3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33">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33">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33">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33">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33">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33">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33">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33">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33">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33">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33">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33">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33">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33">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33">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33">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33">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33">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3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33">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33">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33">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33">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33">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33">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33">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33">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33">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3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33">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33">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33">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33">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33">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33">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33">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33">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33">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3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33">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33">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33">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33">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33">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33">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33">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33">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33">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3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33">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33">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33">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33">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33">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33">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33">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33">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33">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3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33">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33">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33">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33">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33">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33">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33">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33">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33">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3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33">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33">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33">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33">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33">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33">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33">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33">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33">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3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33">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33">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33">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33">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33">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33">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33">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33">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33">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3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33">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33">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33">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33">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33">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33">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33">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33">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33">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3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33">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33">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33">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33">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33">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33">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33">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33">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33">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33">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33">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33">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33">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33">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33">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33">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33">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33">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3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33">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33">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33">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33">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33">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33">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33">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33">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33">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3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33">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33">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33">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33">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33">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33">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33">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33">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33">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3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33">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33">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33">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33">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33">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33">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33">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33">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33">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3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33">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33">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33">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33">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33">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33">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33">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33">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33">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3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33">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33">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33">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33">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33">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33">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33">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33">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33">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3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33">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33">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33">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33">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33">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33">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33">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33">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33">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3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33">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33">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33">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33">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33">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33">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33">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33">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33">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3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33">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33">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33">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33">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33">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33">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33">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33">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33">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3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33">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33">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33">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33">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33">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33">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33">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33">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33">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33">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33">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33">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33">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33">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33">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33">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33">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33">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3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33">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33">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33">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33">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33">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33">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33">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33">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33">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3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33">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33">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33">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33">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33">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33">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33">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33">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33">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3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33">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33">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33">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33">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33">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33">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33">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33">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33">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3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33">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33">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33">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33">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33">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33">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33">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33">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33">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3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33">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33">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33">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33">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33">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33">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33">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33">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33">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3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33">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33">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33">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33">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33">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33">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33">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33">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33">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3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33">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33">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33">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33">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33">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33">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33">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33">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33">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3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33">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33">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33">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33">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33">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33">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33">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33">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33">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3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33">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33">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33">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33">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33">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33">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33">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33">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33">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33">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33">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33">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33">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33">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33">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33">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33">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33">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3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33">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33">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33">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33">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33">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33">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33">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33">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33">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3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33">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33">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33">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33">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33">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33">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33">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33">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33">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3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33">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33">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33">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33">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33">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33">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33">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33">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33">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3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33">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33">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33">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33">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33">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33">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33">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33">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33">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3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33">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33">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33">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33">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33">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33">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33">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33">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33">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3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33">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33">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33">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33">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33">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33">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33">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33">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33">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3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33">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33">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33">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33">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33">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33">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33">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33">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33">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3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33">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33">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33">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33">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33">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33">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33">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33">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33">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3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33">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33">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33">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33">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33">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33">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33">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33">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33">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33">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33">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33">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33">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33">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33">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33">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33">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33">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3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33">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33">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33">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33">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33">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33">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33">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33">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33">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3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33">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33">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33">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33">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33">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33">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33">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33">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33">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3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33">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33">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33">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33">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33">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33">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33">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33">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33">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3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33">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33">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33">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33">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33">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33">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33">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33">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33">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3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33">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33">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33">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33">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33">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33">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33">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33">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33">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3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33">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33">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33">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33">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33">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33">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33">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33">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33">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3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33">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33">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33">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33">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33">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33">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33">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33">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33">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3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33">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33">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33">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33">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33">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33">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33">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33">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33">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3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33">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33">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33">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33">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33">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33">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33">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33">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33">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33">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33">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33">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33">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33">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33">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33">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33">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33">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3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33">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33">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33">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33">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33">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33">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33">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33">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33">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3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33">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33">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33">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33">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33">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33">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33">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33">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33">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3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33">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33">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33">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33">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33">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33">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33">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33">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33">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3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33">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33">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33">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33">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33">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33">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33">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33">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33">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3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33">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33">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33">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33">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33">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33">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33">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33">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33">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3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33">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33">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33">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33">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33">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33">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33">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33">
      <c r="A1001" s="7"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sheetData>
  <autoFilter ref="$A$1:$G$1001"/>
  <mergeCells count="9">
    <mergeCell ref="A13:G13"/>
    <mergeCell ref="A66:G66"/>
    <mergeCell ref="A40:G40"/>
    <mergeCell ref="A8:G8"/>
    <mergeCell ref="A55:G55"/>
    <mergeCell ref="A50:G50"/>
    <mergeCell ref="A78:G78"/>
    <mergeCell ref="A2:G2"/>
    <mergeCell ref="A29:G29"/>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2026-10-01T13:49:15Z</dcterms:created>
  <dcterms:modified xsi:type="dcterms:W3CDTF">2026-10-14T01:46:49Z</dcterms:modified>
</cp:coreProperties>
</file>