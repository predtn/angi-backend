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s" sheetId="1" r:id="rId4"/>
    <sheet state="visible" name="Team" sheetId="2" r:id="rId5"/>
    <sheet state="visible" name="Epics" sheetId="3" r:id="rId6"/>
    <sheet state="visible" name="Backlog" sheetId="4" r:id="rId7"/>
    <sheet state="visible" name="Workload" sheetId="5" r:id="rId8"/>
  </sheets>
  <definedNames>
    <definedName hidden="1" localSheetId="3" name="_xlnm._FilterDatabase">Backlog!$A$1:$K$193</definedName>
  </definedNames>
  <calcPr/>
  <extLst>
    <ext uri="GoogleSheetsCustomDataVersion2">
      <go:sheetsCustomData xmlns:go="http://customooxmlschemas.google.com/" r:id="rId9" roundtripDataChecksum="Hyw0a+aSqEzg95xzNpYPrPVCIdU1wQzzUnLsIkwURsM="/>
    </ext>
  </extLst>
</workbook>
</file>

<file path=xl/sharedStrings.xml><?xml version="1.0" encoding="utf-8"?>
<sst xmlns="http://schemas.openxmlformats.org/spreadsheetml/2006/main" count="2072" uniqueCount="728">
  <si>
    <t>Sprint</t>
  </si>
  <si>
    <t>Tuần</t>
  </si>
  <si>
    <t>Bắt đầu</t>
  </si>
  <si>
    <t>Kết thúc</t>
  </si>
  <si>
    <t>Sprint Goal</t>
  </si>
  <si>
    <t>Số task</t>
  </si>
  <si>
    <t>Story points</t>
  </si>
  <si>
    <t>ANGI Sprint 0</t>
  </si>
  <si>
    <t>W5</t>
  </si>
  <si>
    <t>05/10/2026</t>
  </si>
  <si>
    <t>11/10/2026</t>
  </si>
  <si>
    <t>Hoàn tất thiết kế (SDS v1.0, Test Plan, SRS v1.0), dựng khung dự án, DB, CI, seed data</t>
  </si>
  <si>
    <t>ANGI Sprint 1</t>
  </si>
  <si>
    <t>W6-W7</t>
  </si>
  <si>
    <t>12/10/2026</t>
  </si>
  <si>
    <t>25/10/2026</t>
  </si>
  <si>
    <t>Iteration 1: Authentication &amp; Account, Restaurant Management, Discovery, Reco phase 1 -&gt; Software Package V1</t>
  </si>
  <si>
    <t>ANGI Sprint 2</t>
  </si>
  <si>
    <t>W8-W9</t>
  </si>
  <si>
    <t>26/10/2026</t>
  </si>
  <si>
    <t>08/11/2026</t>
  </si>
  <si>
    <t>Iteration 2: Roadmap, Feedback &amp; Report, Blog, Notification, Reco phase 2 -&gt; Software Package V2</t>
  </si>
  <si>
    <t>ANGI Sprint 3</t>
  </si>
  <si>
    <t>W10-W11</t>
  </si>
  <si>
    <t>09/11/2026</t>
  </si>
  <si>
    <t>22/11/2026</t>
  </si>
  <si>
    <t>Iteration 3: Moderation, Administration, Reco last phase, System Test Cases -&gt; Software Package V3</t>
  </si>
  <si>
    <t>ANGI Sprint 4</t>
  </si>
  <si>
    <t>W12-W13</t>
  </si>
  <si>
    <t>23/11/2026</t>
  </si>
  <si>
    <t>06/12/2026</t>
  </si>
  <si>
    <t>Verification &amp; Validation: System/Acceptance test, fix bug, User Guides, Final Software Package</t>
  </si>
  <si>
    <t>ANGI Sprint 5</t>
  </si>
  <si>
    <t>W14</t>
  </si>
  <si>
    <t>07/12/2026</t>
  </si>
  <si>
    <t>13/12/2026</t>
  </si>
  <si>
    <t>Closing: Final Project Report, Presentation</t>
  </si>
  <si>
    <t>Thành viên</t>
  </si>
  <si>
    <t>Vai trò</t>
  </si>
  <si>
    <t>Người review PR</t>
  </si>
  <si>
    <t>Dũng</t>
  </si>
  <si>
    <t>PM; Recommendation System (FastAPI); DevOps, hạ tầng, database</t>
  </si>
  <si>
    <t>Hưng</t>
  </si>
  <si>
    <t>Backend .NET: Authentication, Restaurant, Roadmap, Moderation (nhà hàng, menu), Administration (quyền)</t>
  </si>
  <si>
    <t>Trọng</t>
  </si>
  <si>
    <t>Backend .NET: Account, Discovery, Notification, Blog, Feedback &amp; Report, Moderation (người dùng, nội dung)</t>
  </si>
  <si>
    <t>Tuấn</t>
  </si>
  <si>
    <t>Frontend Next.js: Owner portal, Roadmap, Admin</t>
  </si>
  <si>
    <t>Đức</t>
  </si>
  <si>
    <t>Frontend Next.js: Auth, Discovery, Blog, Moderation; Test docs, User Guide</t>
  </si>
  <si>
    <t>Epic key</t>
  </si>
  <si>
    <t>Epic</t>
  </si>
  <si>
    <t>Phạm vi</t>
  </si>
  <si>
    <t>Start Date</t>
  </si>
  <si>
    <t>End Date</t>
  </si>
  <si>
    <t>EP-SETUP</t>
  </si>
  <si>
    <t>Project Setup &amp; Infrastructure</t>
  </si>
  <si>
    <t>Repo, CI/CD, solution skeleton, DB migration, seed data, shared services</t>
  </si>
  <si>
    <t>18/10/2026</t>
  </si>
  <si>
    <t>EP-AUTH</t>
  </si>
  <si>
    <t>Authentication &amp; Account</t>
  </si>
  <si>
    <t>F-01..F-08</t>
  </si>
  <si>
    <t>20/10/2026</t>
  </si>
  <si>
    <t>EP-NOTI</t>
  </si>
  <si>
    <t>Notification</t>
  </si>
  <si>
    <t>F-09..F-10</t>
  </si>
  <si>
    <t>27/10/2026</t>
  </si>
  <si>
    <t>EP-DISC</t>
  </si>
  <si>
    <t>Dish &amp; Restaurant Discovery</t>
  </si>
  <si>
    <t>F-11..F-18</t>
  </si>
  <si>
    <t>EP-ROAD</t>
  </si>
  <si>
    <t>Roadmap</t>
  </si>
  <si>
    <t>F-19..F-30</t>
  </si>
  <si>
    <t>03/11/2026</t>
  </si>
  <si>
    <t>EP-FBR</t>
  </si>
  <si>
    <t>Restaurant Feedback &amp; Report</t>
  </si>
  <si>
    <t>F-31..F-33</t>
  </si>
  <si>
    <t>31/10/2026</t>
  </si>
  <si>
    <t>EP-BLOG</t>
  </si>
  <si>
    <t>Blog</t>
  </si>
  <si>
    <t>F-34..F-42</t>
  </si>
  <si>
    <t>02/11/2026</t>
  </si>
  <si>
    <t>EP-REST</t>
  </si>
  <si>
    <t>Restaurant Management</t>
  </si>
  <si>
    <t>F-43..F-51</t>
  </si>
  <si>
    <t>EP-MOD</t>
  </si>
  <si>
    <t>Moderation</t>
  </si>
  <si>
    <t>F-52..F-62</t>
  </si>
  <si>
    <t>17/11/2026</t>
  </si>
  <si>
    <t>EP-ADMIN</t>
  </si>
  <si>
    <t>Administration</t>
  </si>
  <si>
    <t>F-63..F-66</t>
  </si>
  <si>
    <t>16/11/2026</t>
  </si>
  <si>
    <t>EP-RECO</t>
  </si>
  <si>
    <t>Recommendation System</t>
  </si>
  <si>
    <t>Recommendation service (FastAPI) phase 1-3</t>
  </si>
  <si>
    <t>EP-DOC</t>
  </si>
  <si>
    <t>Documentation &amp; Reports</t>
  </si>
  <si>
    <t>SRS, SDS, Test docs, User Guides, Final Report</t>
  </si>
  <si>
    <t>EP-QA</t>
  </si>
  <si>
    <t>Testing &amp; Release</t>
  </si>
  <si>
    <t>Integration/System/Acceptance test, bug fixing, software packages</t>
  </si>
  <si>
    <t>Issue ID</t>
  </si>
  <si>
    <t>Type</t>
  </si>
  <si>
    <t>Summary</t>
  </si>
  <si>
    <t>Description</t>
  </si>
  <si>
    <t>Assignee</t>
  </si>
  <si>
    <t>Story Points</t>
  </si>
  <si>
    <t>Due Date</t>
  </si>
  <si>
    <t>Labels</t>
  </si>
  <si>
    <t>T133</t>
  </si>
  <si>
    <t>Task</t>
  </si>
  <si>
    <t>Tạo GitHub repo (backend, frontend, reco), branch strategy, PR template, rule review</t>
  </si>
  <si>
    <t>Cấu hình đúng commit_guide.md: nhánh main/dev, nhánh làm việc &lt;type&gt;/ANGI-xxx-mô-tả tạo từ dev; PR vào dev, squash merge, cần 1 approve. Bảo vệ main và dev (không push thẳng).</t>
  </si>
  <si>
    <t>devops</t>
  </si>
  <si>
    <t>T157</t>
  </si>
  <si>
    <t>Report 4: SDS v1.0 (High Level Design)</t>
  </si>
  <si>
    <t>Cả team cùng viết, mỗi người viết phần module/feature mình làm. Dũng tổng hợp và duyệt cuối.</t>
  </si>
  <si>
    <t>docs</t>
  </si>
  <si>
    <t>T134</t>
  </si>
  <si>
    <t>Docker Compose môi trường dev: PostgreSQL 16 + pgvector</t>
  </si>
  <si>
    <t>Mỗi dev chạy được DB local bằng 1 lệnh; tạo 2 DB role riêng cho backend (schema core) và reco (schema recommendation) như project_architecture.md mục 6. Viết hướng dẫn chạy vào README.</t>
  </si>
  <si>
    <t>06/10/2026</t>
  </si>
  <si>
    <t>T140</t>
  </si>
  <si>
    <t>Shared service: upload ảnh/tài liệu (Cloudinary)</t>
  </si>
  <si>
    <t>Interface ở Application/Common/Interfaces/Services, implementation ở Infrastructure/Services (project_architecture.md mục 2). Dùng cho MEDIA-01 và bảng media_files.</t>
  </si>
  <si>
    <t>07/10/2026</t>
  </si>
  <si>
    <t>backend</t>
  </si>
  <si>
    <t>T141</t>
  </si>
  <si>
    <t>Shared service: gửi email (Brevo) + template xác minh / reset mật khẩu</t>
  </si>
  <si>
    <t>Interface ở Application/Common/Interfaces/Services, implementation ở Infrastructure/Services (project_architecture.md mục 2). Dùng cho F-01, F-02, F-05.</t>
  </si>
  <si>
    <t>08/10/2026</t>
  </si>
  <si>
    <t>T142</t>
  </si>
  <si>
    <t>Khung Next.js: layout, routing theo role, API client, auth guard, UI kit</t>
  </si>
  <si>
    <t>API client đọc base URL từ env, lấy dữ liệu từ field data của ApiResponse, rẽ nhánh lỗi theo errorCode (sheet Mã lỗi của ANGI_API_Design_Ver1.6), xử lý refresh token (AUTH-06).</t>
  </si>
  <si>
    <t>frontend</t>
  </si>
  <si>
    <t>T143</t>
  </si>
  <si>
    <t>Wireframe/mockup các màn hình Iteration 1</t>
  </si>
  <si>
    <t>Theo các use case Iteration 1 trong ANGI_Use_Case_Basic_Descriptions_Ver1.0.</t>
  </si>
  <si>
    <t>T135</t>
  </si>
  <si>
    <t>Database: ANGIContext schema core, base class, initial migration</t>
  </si>
  <si>
    <t>Map toàn bộ bảng schema core theo ANGI_Data_Dictionary_Ver1.0 vào ANGIContext (IEntityTypeConfiguration mỗi bảng), BaseEntity + ISoftDelete, enum lưu đúng giá trị chữ thường như sheet Enum của ANGI_API_Design_Ver1.6. Initial migration gồm cả CHECK, citext và trigger outbox (migrationBuilder.Sql). Từ đây schema core chỉ đổi qua EF migration (commit_guide.md mục 10). | Làm sau: Docker Compose môi trường dev: PostgreSQL 16 + pgvector.</t>
  </si>
  <si>
    <t>T158</t>
  </si>
  <si>
    <t>Report 5: Test Planning</t>
  </si>
  <si>
    <t>T139</t>
  </si>
  <si>
    <t>Backend: ExceptionHandlingMiddleware, cấu hình JWT, CORS, rate limit</t>
  </si>
  <si>
    <t>Mọi response bọc trong ApiResponse&lt;T&gt; (success, message, errorCode, data, errors) theo coding_rule.md mục 5. Middleware map exception sang status + errorCode theo coding_rule.md mục 7 và sheet Mã lỗi của ANGI_API_Design_Ver1.6; 401, 403, 429 và lỗi model binding cũng trả ApiResponse. JWT, CORS, rate limit theo project_architecture.md mục 4–5.</t>
  </si>
  <si>
    <t>T136</t>
  </si>
  <si>
    <t>CI GitHub Actions: build + unit test cho .NET, FastAPI, Next.js</t>
  </si>
  <si>
    <t>Chạy cho mọi PR vào dev; PR đỏ thì không được merge. | Làm sau: Database: ANGIContext schema core, base class, initial migration.</t>
  </si>
  <si>
    <t>09/10/2026</t>
  </si>
  <si>
    <t>T144</t>
  </si>
  <si>
    <t>Ghi audit log cho thao tác quan trọng</t>
  </si>
  <si>
    <t>Ghi vào bảng audit_logs (ANGI_Data_Dictionary_Ver1.0): đăng nhập, khóa/mở khóa user, duyệt nhà hàng/menu, ẩn nội dung, đổi quyền. Dữ liệu cho F-55 và F-64 ở Iteration 3. | Làm sau: Database: ANGIContext schema core, base class, initial migration.</t>
  </si>
  <si>
    <t>T137</t>
  </si>
  <si>
    <t>Seed data: nhà hàng đã verify, món, user test cho mọi role</t>
  </si>
  <si>
    <t>Dữ liệu đúng cấu trúc ANGI_Data_Dictionary_Ver1.0, chạy lại được nhiều lần. Đủ để test Discovery và Roadmap trước khi có Moderation (Iteration 3); mỗi role có ít nhất 1 tài khoản test. | Làm sau: Database: ANGIContext schema core, base class, initial migration.</t>
  </si>
  <si>
    <t>10/10/2026</t>
  </si>
  <si>
    <t>T159</t>
  </si>
  <si>
    <t>Report 3: SRS v1.0 (Detailed Requirements Iteration 1)</t>
  </si>
  <si>
    <t>T138</t>
  </si>
  <si>
    <t>Khung FastAPI reco service: kết nối schema recommendation, migration, X-Api-Key, /health</t>
  </si>
  <si>
    <t>Bảng theo sheet Recommendation của ANGI_Data_Dictionary_Ver1.0; endpoint theo sheet Reco API (nội bộ) của ANGI_API_Design_Ver1.6. Migration của reco là nơi duy nhất tạo bảng recommendation và bật extension vector.</t>
  </si>
  <si>
    <t>reco</t>
  </si>
  <si>
    <t>T001</t>
  </si>
  <si>
    <t>[BE] F-01 Register Account</t>
  </si>
  <si>
    <t>Use case F-01 Register Account (Actor: Guest). Allows a guest to create a new ANGI account by providing the required registration information. The system validates the information and checks its uniqueness, creates the account in the appropriate status, and requires email verification before the account can use features that need authentication.
Endpoint cần làm:
- AUTH-01 POST /api/v1/auth/register
Ghi chú: Gửi mail xác minh qua email service (task Brevo của EP-SETUP). Đăng ký là Traveler hoặc Restaurant Owner, mỗi tài khoản 1 role.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</si>
  <si>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backend iteration1</t>
  </si>
  <si>
    <t>T002</t>
  </si>
  <si>
    <t>[FE] F-01 Register Account</t>
  </si>
  <si>
    <t>Use case F-01 Register Account (Actor: Guest). Allows a guest to create a new ANGI account by providing the required registration information. The system validates the information and checks its uniqueness, creates the account in the appropriate status, and requires email verification before the account can use features that need authentication.
Endpoint cần gọi:
- AUTH-01 POST /api/v1/auth/register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</si>
  <si>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frontend iteration1</t>
  </si>
  <si>
    <t>T029</t>
  </si>
  <si>
    <t>[BE] F-15 Browse Restaurant</t>
  </si>
  <si>
    <t>Use case F-15 Browse Restaurant (Actor: Guest, Traveler). Allows a Guest or Traveler to browse the list of restaurants on ANGI. Users can explore restaurants based on the information provided by the system and the supported search/filter criteria.
Endpoint cần làm:
- REST-01 GET /api/v1/restaurants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</si>
  <si>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T146</t>
  </si>
  <si>
    <t>Reco client trong backend .NET (IRecommendationService)</t>
  </si>
  <si>
    <t>Typed HttpClient gọi RECO-03, RECO-05, RECO-06, RECO-09 với X-Api-Key; timeout 800 ms và fallback xếp theo rating quán (project_architecture.md mục 2). | Làm sau: Khung FastAPI reco service: kết nối schema recommendation, migration, X-Api-Key, /health.</t>
  </si>
  <si>
    <t>T005</t>
  </si>
  <si>
    <t>[BE] F-03 Login</t>
  </si>
  <si>
    <t>Use case F-03 Login (Actor: Guest). Allows a registered user to log in to the system with their account credentials. The system authenticates the credentials, checks the account status, and creates a login session if the information is valid.
Endpoint cần làm:
- AUTH-04 POST /api/v1/auth/login
- AUTH-06 POST /api/v1/auth/refresh
- AUTH-07 POST /api/v1/auth/logout
Ghi chú: Access token 15 phút + refresh token 30 ngày xoay vòng (user_sessions). Khóa 15 phút sau 5 lần sai. Trả needsPreferenceSurvey theo RECO-09.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</si>
  <si>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13/10/2026</t>
  </si>
  <si>
    <t>T006</t>
  </si>
  <si>
    <t>[FE] F-03 Login</t>
  </si>
  <si>
    <t>Use case F-03 Login (Actor: Guest). Allows a registered user to log in to the system with their account credentials. The system authenticates the credentials, checks the account status, and creates a login session if the information is valid.
Endpoint cần gọi:
- AUTH-04 POST /api/v1/auth/login
- AUTH-06 POST /api/v1/auth/refresh
- AUTH-07 POST /api/v1/auth/logout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</si>
  <si>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T031</t>
  </si>
  <si>
    <t>[BE] F-16 View Restaurant Detail</t>
  </si>
  <si>
    <t>Use case F-16 View Restaurant Detail (Actor: Guest, Traveler). Allows a Guest or Traveler to view the details of a restaurant, including basic information, address, location, opening hours, menu, rating, and other related information.
Endpoint cần làm:
- REST-02 GET /api/v1/restaurants/{restaurantId}
- REST-03 GET /api/v1/restaurants/{restaurantId}/menu
- REST-04 GET /api/v1/restaurants/{restaurantId}/reviews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</si>
  <si>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T086</t>
  </si>
  <si>
    <t>[FE] F-43 Register Restaurant</t>
  </si>
  <si>
    <t>Use case F-43 Register Restaurant (Actor: Restaurant Owner). Allows a Restaurant Owner to register a restaurant on ANGI by providing the required information about the business and its location. The system creates the restaurant record and puts it in the appropriate status to continue the verification process.
Endpoint cần gọi:
- OWN-01 POST /api/v1/owner/restaurant
- MEDIA-01 POST /api/v1/media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</si>
  <si>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T147</t>
  </si>
  <si>
    <t>Reco P1: Chuẩn hóa dữ liệu + ontology 12 chiều</t>
  </si>
  <si>
    <t>Recommendation_System_Design_Ver1.0 mục 2. Deliverable: Ontology.</t>
  </si>
  <si>
    <t>T013</t>
  </si>
  <si>
    <t>[BE] F-07 Manage Personal Profile</t>
  </si>
  <si>
    <t>Use case F-07 Manage Personal Profile (Actor: Registered User). Allows a Registered User to view and update the editable personal information of their account, such as display name and related profile details. The system validates the input and saves valid changes.
Endpoint cần làm:
- ME-01 GET /api/v1/me
- ME-02 PATCH /api/v1/me
- MEDIA-01 POST /api/v1/media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F-03 Login.</t>
  </si>
  <si>
    <t>T085</t>
  </si>
  <si>
    <t>[BE] F-43 Register Restaurant</t>
  </si>
  <si>
    <t>Use case F-43 Register Restaurant (Actor: Restaurant Owner). Allows a Restaurant Owner to register a restaurant on ANGI by providing the required information about the business and its location. The system creates the restaurant record and puts it in the appropriate status to continue the verification process.
Endpoint cần làm:
- OWN-01 POST /api/v1/owner/restaurant
- MEDIA-01 POST /api/v1/media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</si>
  <si>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T015</t>
  </si>
  <si>
    <t>[BE] F-08 Change Password</t>
  </si>
  <si>
    <t>Use case F-08 Change Password (Actor: Registered User). Allows a logged-in Registered User to change their current password. The system requires the current password, validates the new password, and updates it if all conditions are met.
Endpoint cần làm:
- ME-03 PUT /api/v1/me/password
Ghi chú: Đổi mật khẩu xong thì thu hồi các phiên khác.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F-03 Login.</t>
  </si>
  <si>
    <t>14/10/2026</t>
  </si>
  <si>
    <t>T030</t>
  </si>
  <si>
    <t>[FE] F-15 Browse Restaurant</t>
  </si>
  <si>
    <t>Use case F-15 Browse Restaurant (Actor: Guest, Traveler). Allows a Guest or Traveler to browse the list of restaurants on ANGI. Users can explore restaurants based on the information provided by the system and the supported search/filter criteria.
Endpoint cần gọi:
- REST-01 GET /api/v1/restaurants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</si>
  <si>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T087</t>
  </si>
  <si>
    <t>[BE] F-44 Manage Restaurant Profile</t>
  </si>
  <si>
    <t>Use case F-44 Manage Restaurant Profile (Actor: Restaurant Owner). Allows a Restaurant Owner to view and update the restaurant profile, such as name, address, description, and other editable business information. The system validates the data and saves valid changes.
Endpoint cần làm:
- OWN-02 GET /api/v1/owner/restaurant
- OWN-03 PATCH /api/v1/owner/restaurant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</si>
  <si>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T088</t>
  </si>
  <si>
    <t>[FE] F-44 Manage Restaurant Profile</t>
  </si>
  <si>
    <t>Use case F-44 Manage Restaurant Profile (Actor: Restaurant Owner). Allows a Restaurant Owner to view and update the restaurant profile, such as name, address, description, and other editable business information. The system validates the data and saves valid changes.
Endpoint cần gọi:
- OWN-02 GET /api/v1/owner/restaurant
- OWN-03 PATCH /api/v1/owner/restaurant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</si>
  <si>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T149</t>
  </si>
  <si>
    <t>Reco P1: User vector từ khảo sát (RECO-03, RECO-09)</t>
  </si>
  <si>
    <t>Recommendation_System_Design_Ver1.0 mục 3.2. Deliverable: User Vector. | Làm sau: Reco P1: Chuẩn hóa dữ liệu + ontology 12 chiều.</t>
  </si>
  <si>
    <t>T160</t>
  </si>
  <si>
    <t>Report 4: SDS v1.1</t>
  </si>
  <si>
    <t>T032</t>
  </si>
  <si>
    <t>[FE] F-16 View Restaurant Detail</t>
  </si>
  <si>
    <t>Use case F-16 View Restaurant Detail (Actor: Guest, Traveler). Allows a Guest or Traveler to view the details of a restaurant, including basic information, address, location, opening hours, menu, rating, and other related information.
Endpoint cần gọi:
- REST-02 GET /api/v1/restaurants/{restaurantId}
- REST-03 GET /api/v1/restaurants/{restaurantId}/menu
- REST-04 GET /api/v1/restaurants/{restaurantId}/reviews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</si>
  <si>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T089</t>
  </si>
  <si>
    <t>[BE] F-45 Update Business Hour</t>
  </si>
  <si>
    <t>Use case F-45 Update Business Hour (Actor: Restaurant Owner). Allows a Restaurant Owner to update the restaurant's opening hours. The system validates the times and saves the new schedule to display to users.
Endpoint cần làm:
- OWN-04 PUT /api/v1/owner/restaurant/business-hours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</si>
  <si>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T090</t>
  </si>
  <si>
    <t>[FE] F-45 Update Business Hour</t>
  </si>
  <si>
    <t>Use case F-45 Update Business Hour (Actor: Restaurant Owner). Allows a Restaurant Owner to update the restaurant's opening hours. The system validates the times and saves the new schedule to display to users.
Endpoint cần gọi:
- OWN-04 PUT /api/v1/owner/restaurant/business-hours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</si>
  <si>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T091</t>
  </si>
  <si>
    <t>[BE] F-46 Update Status</t>
  </si>
  <si>
    <t>Use case F-46 Update Status (Actor: Restaurant Owner). Allows a Restaurant Owner to update the restaurant's operating status, such as open or temporarily closed. The system saves the new status and uses it when displaying or providing restaurant information.
Endpoint cần làm:
- OWN-05 PUT /api/v1/owner/restaurant/operating-status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</si>
  <si>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T014</t>
  </si>
  <si>
    <t>[FE] F-07 Manage Personal Profile</t>
  </si>
  <si>
    <t>Use case F-07 Manage Personal Profile (Actor: Registered User). Allows a Registered User to view and update the editable personal information of their account, such as display name and related profile details. The system validates the input and saves valid changes.
Endpoint cần gọi:
- ME-01 GET /api/v1/me
- ME-02 PATCH /api/v1/me
- MEDIA-01 POST /api/v1/media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</si>
  <si>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15/10/2026</t>
  </si>
  <si>
    <t>T033</t>
  </si>
  <si>
    <t>[BE] F-17 Set Up Preference Profile</t>
  </si>
  <si>
    <t>Use case F-17 Set Up Preference Profile (Actor: Traveler). Allows a Traveler to set up an initial preference profile by answering the system's questions on first use, to support the recommendation system. The system stores the answers as the initial input data for the preference profile.
Endpoint cần làm:
- PREF-02 POST /api/v1/me/preference-survey
- PREF-03 POST /api/v1/me/preference-survey/skip
Ghi chú: Câu trả lời khảo sát chỉ lưu ở reco: gọi RECO-03 trực tiếp; bỏ qua = PREF-03 gửi answers rỗng.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Hưng review. | Làm sau: Reco P1: User vector từ khảo sát (RECO-03, RECO-09).</t>
  </si>
  <si>
    <t>T095</t>
  </si>
  <si>
    <t>[BE] F-48 View Verification Status</t>
  </si>
  <si>
    <t>Use case F-48 View Verification Status (Actor: Restaurant Owner). Allows a Restaurant Owner to view the current status of the restaurant verification request, such as pending, approved, or rejected, along with any feedback.
Endpoint cần làm:
- OWN-07 GET /api/v1/owner/restaurant/verifications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</si>
  <si>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T099</t>
  </si>
  <si>
    <t>[BE] F-50 Manage Restaurant Menu</t>
  </si>
  <si>
    <t>Use case F-50 Manage Restaurant Menu (Actor: Restaurant Owner). Allows a Restaurant Owner to manage the restaurant's menu, including adding, editing, or removing dishes and related information. Changes may need to go through an approval process depending on the status of the restaurant and the menu.
Endpoint cần làm:
- OWN-09 GET /api/v1/owner/restaurant/menu
- OWN-10 PUT /api/v1/owner/restaurant/menu/dishes/{dishId}/availability
- OWN-11 POST /api/v1/owner/restaurant/menu-submissions
- OWN-12 GET /api/v1/owner/restaurant/menu-submissions
- OWN-13 GET /api/v1/owner/restaurant/menu-submissions/{submissionId}
- OWN-14 POST /api/v1/owner/restaurant/menu-submissions/{submissionId}/items
- OWN-15 PATCH /api/v1/owner/restaurant/menu-submissions/{submissionId}/items/{itemId}
- OWN-16 DELETE /api/v1/owner/restaurant/menu-submissions/{submissionId}/items/{itemId}
- OWN-18 POST /api/v1/owner/restaurant/menu-submissions/{submissionId}/cancel
Ghi chú: Sửa menu = soạn bản menu mới (menu_submissions, menu_submission_items); menu đang hiển thị giữ nguyên đến khi Mod duyệt.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</si>
  <si>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T016</t>
  </si>
  <si>
    <t>[FE] F-08 Change Password</t>
  </si>
  <si>
    <t>Use case F-08 Change Password (Actor: Registered User). Allows a logged-in Registered User to change their current password. The system requires the current password, validates the new password, and updates it if all conditions are met.
Endpoint cần gọi:
- ME-03 PUT /api/v1/me/password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</si>
  <si>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T092</t>
  </si>
  <si>
    <t>[FE] F-46 Update Status</t>
  </si>
  <si>
    <t>Use case F-46 Update Status (Actor: Restaurant Owner). Allows a Restaurant Owner to update the restaurant's operating status, such as open or temporarily closed. The system saves the new status and uses it when displaying or providing restaurant information.
Endpoint cần gọi:
- OWN-05 PUT /api/v1/owner/restaurant/operating-status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</si>
  <si>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T097</t>
  </si>
  <si>
    <t>[BE] F-49 Resubmit Verification</t>
  </si>
  <si>
    <t>Use case F-49 Resubmit Verification (Actor: Restaurant Owner). Allows a Restaurant Owner to resubmit a verification request after the previous submission was rejected or more information was requested. The system receives the updated data and creates a new submission for review.
Endpoint cần làm:
- OWN-08 POST /api/v1/owner/restaurant/verifications/{verificationId}/resubmit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</si>
  <si>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T003</t>
  </si>
  <si>
    <t>[BE] F-02 Verify Email</t>
  </si>
  <si>
    <t>Use case F-02 Verify Email (Actor: Guest). Allows a user to verify the email address of their account through a verification link or code sent by the system. The system checks the validity and expiry of the verification data, then updates the account's email status when verification succeeds.
Endpoint cần làm:
- AUTH-02 POST /api/v1/auth/verify-email
- AUTH-03 POST /api/v1/auth/verify-email/resend
Ghi chú: Token lưu dạng hash trong user_tokens, dùng 1 lần; resend giới hạn 1 lần / 60 giây.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</si>
  <si>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16/10/2026</t>
  </si>
  <si>
    <t>T004</t>
  </si>
  <si>
    <t>[FE] F-02 Verify Email</t>
  </si>
  <si>
    <t>Use case F-02 Verify Email (Actor: Guest). Allows a user to verify the email address of their account through a verification link or code sent by the system. The system checks the validity and expiry of the verification data, then updates the account's email status when verification succeeds.
Endpoint cần gọi:
- AUTH-02 POST /api/v1/auth/verify-email
- AUTH-03 POST /api/v1/auth/verify-email/resend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</si>
  <si>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T025</t>
  </si>
  <si>
    <t>[BE] F-13 View Dish Detail</t>
  </si>
  <si>
    <t>Use case F-13 View Dish Detail (Actor: Guest, Traveler). Allows a Guest or Traveler to view the details of a dish, including its name, description, characteristics, related information, and the restaurant that serves it.
Endpoint cần làm:
- DISH-02 GET /api/v1/dishes/{dishId}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</si>
  <si>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T094</t>
  </si>
  <si>
    <t>[FE] F-47 Submit Verification</t>
  </si>
  <si>
    <t>Use case F-47 Submit Verification (Actor: Restaurant Owner). Allows a Restaurant Owner to submit the information and documents required to request restaurant verification. The system checks that the submission is complete and moves the request to the pending review status.
Endpoint cần gọi:
- OWN-06 POST /api/v1/owner/restaurant/verifications
- MEDIA-01 POST /api/v1/media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</si>
  <si>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T148</t>
  </si>
  <si>
    <t>Reco P1: Sinh dish vector (RECO-01 upsert, RECO-02 deactivate)</t>
  </si>
  <si>
    <t>Recommendation_System_Design_Ver1.0 mục 2.4. Deliverable: Dish Vector. | Làm sau: Reco P1: Chuẩn hóa dữ liệu + ontology 12 chiều.</t>
  </si>
  <si>
    <t>T007</t>
  </si>
  <si>
    <t>[BE] F-04 Login with Google</t>
  </si>
  <si>
    <t>Use case F-04 Login with Google (Actor: Guest). Allows a user to log in or register an ANGI account using a Google account. The system verifies the information from Google, finds or creates the corresponding ANGI account, and establishes a login session for the user.
Endpoint cần làm:
- AUTH-05 POST /api/v1/auth/google
Ghi chú: Xác thực idToken Google, liên kết qua user_external_logins.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</si>
  <si>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T026</t>
  </si>
  <si>
    <t>[FE] F-13 View Dish Detail</t>
  </si>
  <si>
    <t>Use case F-13 View Dish Detail (Actor: Guest, Traveler). Allows a Guest or Traveler to view the details of a dish, including its name, description, characteristics, related information, and the restaurant that serves it.
Endpoint cần gọi:
- DISH-02 GET /api/v1/dishes/{dishId}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</si>
  <si>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T027</t>
  </si>
  <si>
    <t>[BE] F-14 View Corresponding Restaurant Detail</t>
  </si>
  <si>
    <t>Use case F-14 View Corresponding Restaurant Detail (Actor: Guest, Traveler). Allows a Guest or Traveler to view the details of the eatery/restaurant that serves a specific dish, including basic information, address, location, opening hours, menu, rating, and other related information.
Endpoint cần làm:
- REST-02 GET /api/v1/restaurants/{restaurantId}
- DISH-02 GET /api/v1/dishes/{dishId}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</si>
  <si>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T096</t>
  </si>
  <si>
    <t>[FE] F-48 View Verification Status</t>
  </si>
  <si>
    <t>Use case F-48 View Verification Status (Actor: Restaurant Owner). Allows a Restaurant Owner to view the current status of the restaurant verification request, such as pending, approved, or rejected, along with any feedback.
Endpoint cần gọi:
- OWN-07 GET /api/v1/owner/restaurant/verifications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</si>
  <si>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T009</t>
  </si>
  <si>
    <t>[BE] F-05 Forgot Password</t>
  </si>
  <si>
    <t>Use case F-05 Forgot Password (Actor: Guest). Allows a user to request password recovery when they cannot remember their current password. The user provides the required identifying information; the system checks the account and then sends the information or link needed to reset the password.
Endpoint cần làm:
- AUTH-08 POST /api/v1/auth/forgot-password
Ghi chú: Luôn trả 202 dù email có tồn tại hay không; giới hạn 1 lần / 60 giây.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</si>
  <si>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17/10/2026</t>
  </si>
  <si>
    <t>T028</t>
  </si>
  <si>
    <t>[FE] F-14 View Corresponding Restaurant Detail</t>
  </si>
  <si>
    <t>Use case F-14 View Corresponding Restaurant Detail (Actor: Guest, Traveler). Allows a Guest or Traveler to view the details of the eatery/restaurant that serves a specific dish, including basic information, address, location, opening hours, menu, rating, and other related information.
Endpoint cần gọi:
- REST-02 GET /api/v1/restaurants/{restaurantId}
- DISH-02 GET /api/v1/dishes/{dishId}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</si>
  <si>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T098</t>
  </si>
  <si>
    <t>[FE] F-49 Resubmit Verification</t>
  </si>
  <si>
    <t>Use case F-49 Resubmit Verification (Actor: Restaurant Owner). Allows a Restaurant Owner to resubmit a verification request after the previous submission was rejected or more information was requested. The system receives the updated data and creates a new submission for review.
Endpoint cần gọi:
- OWN-08 POST /api/v1/owner/restaurant/verifications/{verificationId}/resubmit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</si>
  <si>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T150</t>
  </si>
  <si>
    <t>Reco P1: Cold start (Pooled Wilson) + Content-based, RECO-05 /recommendations, RECO-06 /impressions</t>
  </si>
  <si>
    <t>Recommendation_System_Design_Ver1.0 mục 3.3 và 3.6. Deliverable: Recommend for new user. | Làm sau: Reco P1: Sinh dish vector (RECO-01 upsert, RECO-02 deactivate), Reco P1: User vector từ khảo sát (RECO-03, RECO-09).</t>
  </si>
  <si>
    <t>T011</t>
  </si>
  <si>
    <t>[BE] F-06 Reset Password</t>
  </si>
  <si>
    <t>Use case F-06 Reset Password (Actor: Guest). Allows a user to set a new password through the password recovery process. The system verifies that the reset request is valid, checks the requirements for the new password, and updates the account's credentials.
Endpoint cần làm:
- AUTH-09 POST /api/v1/auth/reset-password
Ghi chú: Đổi mật khẩu xong thì thu hồi mọi phiên (user_sessions.revoked_at).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</si>
  <si>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T024</t>
  </si>
  <si>
    <t>[FE] F-12 Browse Dish</t>
  </si>
  <si>
    <t>Use case F-12 Browse Dish (Actor: Guest, Traveler). Allows a Guest or Traveler to browse the list of dishes on ANGI. Users can view basic information and use the supported filtering or search options to discover suitable dishes.
Endpoint cần gọi:
- DISH-01 GET /api/v1/dishes
- IMP-01 POST /api/v1/impressions
- CAT-02 GET /api/v1/tags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</si>
  <si>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T034</t>
  </si>
  <si>
    <t>[FE] F-17 Set Up Preference Profile</t>
  </si>
  <si>
    <t>Use case F-17 Set Up Preference Profile (Actor: Traveler). Allows a Traveler to set up an initial preference profile by answering the system's questions on first use, to support the recommendation system. The system stores the answers as the initial input data for the preference profile.
Endpoint cần gọi:
- PREF-02 POST /api/v1/me/preference-survey
- PREF-03 POST /api/v1/me/preference-survey/skip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</si>
  <si>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T093</t>
  </si>
  <si>
    <t>[BE] F-47 Submit Verification</t>
  </si>
  <si>
    <t>Use case F-47 Submit Verification (Actor: Restaurant Owner). Allows a Restaurant Owner to submit the information and documents required to request restaurant verification. The system checks that the submission is complete and moves the request to the pending review status.
Endpoint cần làm:
- OWN-06 POST /api/v1/owner/restaurant/verifications
- MEDIA-01 POST /api/v1/media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</si>
  <si>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T023</t>
  </si>
  <si>
    <t>[BE] F-12 Browse Dish</t>
  </si>
  <si>
    <t>Use case F-12 Browse Dish (Actor: Guest, Traveler). Allows a Guest or Traveler to browse the list of dishes on ANGI. Users can view basic information and use the supported filtering or search options to discover suitable dishes.
Endpoint cần làm:
- DISH-01 GET /api/v1/dishes
- IMP-01 POST /api/v1/impressions
- CAT-02 GET /api/v1/tags
Ghi chú: Backend lọc ứng viên (tag, giá, bữa…) rồi gọi RECO-05; trả cursor + requestId. App gửi IMP-01 để ghi impression.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Reco client trong backend .NET (IRecommendationService), Reco P1: Cold start (Pooled Wilson) + Content-based, RECO-05 /recommendations, RECO-06 /impressions.</t>
  </si>
  <si>
    <t>T101</t>
  </si>
  <si>
    <t>[BE] F-51 Submit Menu for Approval</t>
  </si>
  <si>
    <t>Use case F-51 Submit Menu for Approval (Actor: Restaurant Owner). Allows a Restaurant Owner to submit completed menu changes to the system for review and approval. The system moves the menu/submission to the pending approval status.
Endpoint cần làm:
- OWN-17 POST /api/v1/owner/restaurant/menu-submissions/{submissionId}/submit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</si>
  <si>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T145</t>
  </si>
  <si>
    <t>Outbox worker (.NET) gửi thay đổi món và like/dislike sang reco</t>
  </si>
  <si>
    <t>BackgroundService đọc outbox_messages, gửi kèm Idempotency-Key, thử lại theo backoff, chuyển dead khi lỗi 4xx hoặc quá số lần thử. Chi tiết luồng: project_architecture.md mục 7. | Làm sau: Reco P1: Sinh dish vector (RECO-01 upsert, RECO-02 deactivate), [BE] F-50 Manage Restaurant Menu.</t>
  </si>
  <si>
    <t>T021</t>
  </si>
  <si>
    <t>[BE] F-11 View Home Page</t>
  </si>
  <si>
    <t>Use case F-11 View Home Page (Actor: Guest, Traveler). Allows a Guest or Traveler to view the Home Page, which shows information such as trending dishes, top restaurants, highly interacted user blogs, web banners, etc.
Endpoint cần làm:
- HOME-01 GET /api/v1/home
- IMP-01 POST /api/v1/impressions
Ghi chú: Món gợi ý lấy qua IRecommendationService (RECO-05). Reco lỗi hoặc quá 800 ms thì xếp theo rating quán (project_architecture.md mục 2).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Reco P1: Cold start (Pooled Wilson) + Content-based, RECO-05 /recommendations, RECO-06 /impressions.</t>
  </si>
  <si>
    <t>19/10/2026</t>
  </si>
  <si>
    <t>T022</t>
  </si>
  <si>
    <t>[FE] F-11 View Home Page</t>
  </si>
  <si>
    <t>Use case F-11 View Home Page (Actor: Guest, Traveler). Allows a Guest or Traveler to view the Home Page, which shows information such as trending dishes, top restaurants, highly interacted user blogs, web banners, etc.
Endpoint cần gọi:
- HOME-01 GET /api/v1/home
- IMP-01 POST /api/v1/impressions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</si>
  <si>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T100</t>
  </si>
  <si>
    <t>[FE] F-50 Manage Restaurant Menu</t>
  </si>
  <si>
    <t>Use case F-50 Manage Restaurant Menu (Actor: Restaurant Owner). Allows a Restaurant Owner to manage the restaurant's menu, including adding, editing, or removing dishes and related information. Changes may need to go through an approval process depending on the status of the restaurant and the menu.
Endpoint cần gọi:
- OWN-09 GET /api/v1/owner/restaurant/menu
- OWN-10 PUT /api/v1/owner/restaurant/menu/dishes/{dishId}/availability
- OWN-11 POST /api/v1/owner/restaurant/menu-submissions
- OWN-12 GET /api/v1/owner/restaurant/menu-submissions
- OWN-13 GET /api/v1/owner/restaurant/menu-submissions/{submissionId}
- OWN-14 POST /api/v1/owner/restaurant/menu-submissions/{submissionId}/items
- OWN-15 PATCH /api/v1/owner/restaurant/menu-submissions/{submissionId}/items/{itemId}
- OWN-16 DELETE /api/v1/owner/restaurant/menu-submissions/{submissionId}/items/{itemId}
- OWN-18 POST /api/v1/owner/restaurant/menu-submissions/{submissionId}/cancel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</si>
  <si>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T010</t>
  </si>
  <si>
    <t>[FE] F-05 Forgot Password</t>
  </si>
  <si>
    <t>Use case F-05 Forgot Password (Actor: Guest). Allows a user to request password recovery when they cannot remember their current password. The user provides the required identifying information; the system checks the account and then sends the information or link needed to reset the password.
Endpoint cần gọi:
- AUTH-08 POST /api/v1/auth/forgot-password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</si>
  <si>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T012</t>
  </si>
  <si>
    <t>[FE] F-06 Reset Password</t>
  </si>
  <si>
    <t>Use case F-06 Reset Password (Actor: Guest). Allows a user to set a new password through the password recovery process. The system verifies that the reset request is valid, checks the requirements for the new password, and updates the account's credentials.
Endpoint cần gọi:
- AUTH-09 POST /api/v1/auth/reset-password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</si>
  <si>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T008</t>
  </si>
  <si>
    <t>[FE] F-04 Login with Google</t>
  </si>
  <si>
    <t>Use case F-04 Login with Google (Actor: Guest). Allows a user to log in or register an ANGI account using a Google account. The system verifies the information from Google, finds or creates the corresponding ANGI account, and establishes a login session for the user.
Endpoint cần gọi:
- AUTH-05 POST /api/v1/auth/google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</si>
  <si>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T035</t>
  </si>
  <si>
    <t>[BE] F-18 Roll Dish</t>
  </si>
  <si>
    <t>Use case F-18 Roll Dish (Actor: Traveler). Allows a Traveler to ask the system to randomly pick a dish from the set of suitable or supported dishes. The system selects a dish and shows the information needed for the user to discover a new dish.
Endpoint cần làm:
- DISH-03 POST /api/v1/dishes/roll
Ghi chú: Chỉ món của nhà hàng đã verify; xếp hạng qua RECO-05 rồi chọn, gửi RECO-06 cho món đã hiện; lưu dish_rolls.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F-12 Browse Dish.</t>
  </si>
  <si>
    <t>T036</t>
  </si>
  <si>
    <t>[FE] F-18 Roll Dish</t>
  </si>
  <si>
    <t>Use case F-18 Roll Dish (Actor: Traveler). Allows a Traveler to ask the system to randomly pick a dish from the set of suitable or supported dishes. The system selects a dish and shows the information needed for the user to discover a new dish.
Endpoint cần gọi:
- DISH-03 POST /api/v1/dishes/roll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</si>
  <si>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T102</t>
  </si>
  <si>
    <t>[FE] F-51 Submit Menu for Approval</t>
  </si>
  <si>
    <t>Use case F-51 Submit Menu for Approval (Actor: Restaurant Owner). Allows a Restaurant Owner to submit completed menu changes to the system for review and approval. The system moves the menu/submission to the pending approval status.
Endpoint cần gọi:
- OWN-17 POST /api/v1/owner/restaurant/menu-submissions/{submissionId}/submit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</si>
  <si>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T161</t>
  </si>
  <si>
    <t>Unit Testing Report Iteration 1</t>
  </si>
  <si>
    <t>Mỗi dev tối thiểu 2 method/module; Trọng tổng hợp.</t>
  </si>
  <si>
    <t>T171</t>
  </si>
  <si>
    <t>Code freeze + tích hợp Iteration 1: merge PR vào dev, chạy toàn hệ thống</t>
  </si>
  <si>
    <t>Hết ngày code due mọi PR của iteration phải được review và merge vào dev. Ngày này: merge PR còn lại, khóa dev (chỉ nhận PR fix bug), chạy backend + reco + frontend từ dev, smoke test các luồng chính, gắn tag iteration-1. Sau đó Đức/Trọng chạy integration test; lỗi tìm được tạo issue Bug giao cho người làm feature đó, sửa trước ngày phát hành bản của iteration.</t>
  </si>
  <si>
    <t>21/10/2026</t>
  </si>
  <si>
    <t>release</t>
  </si>
  <si>
    <t>T174</t>
  </si>
  <si>
    <t>Report 5: Integration Test Cases Iteration 1</t>
  </si>
  <si>
    <t>Viết theo use case Iteration 1 (ANGI_Use_Case_Basic_Descriptions_Ver1.0) và endpoint tương ứng (ANGI_API_Design_Ver1.6).</t>
  </si>
  <si>
    <t>qa</t>
  </si>
  <si>
    <t>T175</t>
  </si>
  <si>
    <t>Report 5: Integration Test Report Iteration 1</t>
  </si>
  <si>
    <t>Chạy test case trên bản tag iteration-1; lỗi tạo issue Bug.</t>
  </si>
  <si>
    <t>22/10/2026</t>
  </si>
  <si>
    <t>23/10/2026</t>
  </si>
  <si>
    <t>T162</t>
  </si>
  <si>
    <t>Report 3: SRS v1.1 (Detailed Requirements Iteration 2)</t>
  </si>
  <si>
    <t>24/10/2026</t>
  </si>
  <si>
    <t>T176</t>
  </si>
  <si>
    <t>Software Package Version 1 (deploy + release note)</t>
  </si>
  <si>
    <t>Deploy bản của iteration từ tag iteration-1 lên Render (backend, reco, PostgreSQL) và Vercel (frontend); viết release note liệt kê feature đã xong và lỗi còn tồn.</t>
  </si>
  <si>
    <t>T017</t>
  </si>
  <si>
    <t>[BE] F-09 View Notifications</t>
  </si>
  <si>
    <t>Use case F-09 View Notifications (Actor: Registered User). Allows a Registered User to view the list of notifications related to their account and activities in the system, such as submission review results, social interactions, or roadmap-related events.
Endpoint cần làm:
- NOTI-01 GET /api/v1/me/notifications
- NOTI-02 GET /api/v1/me/notifications/unread-count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</si>
  <si>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backend iteration2</t>
  </si>
  <si>
    <t>T018</t>
  </si>
  <si>
    <t>[FE] F-09 View Notifications</t>
  </si>
  <si>
    <t>Use case F-09 View Notifications (Actor: Registered User). Allows a Registered User to view the list of notifications related to their account and activities in the system, such as submission review results, social interactions, or roadmap-related events.
Endpoint cần gọi:
- NOTI-01 GET /api/v1/me/notifications
- NOTI-02 GET /api/v1/me/notifications/unread-count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</si>
  <si>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frontend iteration2</t>
  </si>
  <si>
    <t>T019</t>
  </si>
  <si>
    <t>[BE] F-10 Mark Notification as Read</t>
  </si>
  <si>
    <t>Use case F-10 Mark Notification as Read (Actor: Registered User). Allows a Registered User to mark one or more notifications as read. The system updates the notification status to distinguish read from unread notifications.
Endpoint cần làm:
- NOTI-03 POST /api/v1/me/notifications/read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</si>
  <si>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T020</t>
  </si>
  <si>
    <t>[FE] F-10 Mark Notification as Read</t>
  </si>
  <si>
    <t>Use case F-10 Mark Notification as Read (Actor: Registered User). Allows a Registered User to mark one or more notifications as read. The system updates the notification status to distinguish read from unread notifications.
Endpoint cần gọi:
- NOTI-03 POST /api/v1/me/notifications/read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</si>
  <si>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T037</t>
  </si>
  <si>
    <t>[BE] F-19 Plan New Roadmap</t>
  </si>
  <si>
    <t>Use case F-19 Plan New Roadmap (Actor: Traveler). Allows a Traveler to create a new food roadmap based on trip information and personal needs. The user provides constraints such as time, budget, and number of days; the system uses this information to create a roadmap of suitable dishes and places.
Endpoint cần làm:
- RM-01 POST /api/v1/roadmaps
- RM-04 PATCH /api/v1/roadmaps/{roadmapId}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</si>
  <si>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T038</t>
  </si>
  <si>
    <t>[FE] F-19 Plan New Roadmap</t>
  </si>
  <si>
    <t>Use case F-19 Plan New Roadmap (Actor: Traveler). Allows a Traveler to create a new food roadmap based on trip information and personal needs. The user provides constraints such as time, budget, and number of days; the system uses this information to create a roadmap of suitable dishes and places.
Endpoint cần gọi:
- RM-01 POST /api/v1/roadmaps
- RM-04 PATCH /api/v1/roadmaps/{roadmapId}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</si>
  <si>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T071</t>
  </si>
  <si>
    <t>[BE] F-36 Write Blog</t>
  </si>
  <si>
    <t>Use case F-36 Write Blog (Actor: Traveler). Allows a Traveler to write about their impressions and thoughts on a roadmap they have experienced. The user enters the required content; the system then validates it and saves the post in the appropriate status.
Endpoint cần làm:
- BLOG-04 POST /api/v1/blogs
- MEDIA-01 POST /api/v1/media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</si>
  <si>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T151</t>
  </si>
  <si>
    <t>Reco P2: Lưu like/dislike vào interaction_events (RECO-04 /feedback)</t>
  </si>
  <si>
    <t>Recommendation_System_Design_Ver1.0 mục 5.2.</t>
  </si>
  <si>
    <t>T039</t>
  </si>
  <si>
    <t>[BE] F-20 View My Roadmap</t>
  </si>
  <si>
    <t>Use case F-20 View My Roadmap (Actor: Traveler). Allows a Traveler to view their own roadmaps, including trip information, schedule, dishes, restaurants, and the items arranged for each day.
Endpoint cần làm:
- RM-02 GET /api/v1/roadmaps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</si>
  <si>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T067</t>
  </si>
  <si>
    <t>[BE] F-34 View Public Blog</t>
  </si>
  <si>
    <t>Use case F-34 View Public Blog (Actor: Guest, Traveler). Allows a Guest or Traveler to view the list of public blog posts on ANGI. The system shows the posts allowed to be public along with their basic information so users can discover content.
Endpoint cần làm:
- BLOG-01 GET /api/v1/blogs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</si>
  <si>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T040</t>
  </si>
  <si>
    <t>[FE] F-20 View My Roadmap</t>
  </si>
  <si>
    <t>Use case F-20 View My Roadmap (Actor: Traveler). Allows a Traveler to view their own roadmaps, including trip information, schedule, dishes, restaurants, and the items arranged for each day.
Endpoint cần gọi:
- RM-02 GET /api/v1/roadmaps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</si>
  <si>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28/10/2026</t>
  </si>
  <si>
    <t>T041</t>
  </si>
  <si>
    <t>[BE] F-21 View My Roadmap Detail</t>
  </si>
  <si>
    <t>Use case F-21 View My Roadmap Detail (Actor: Traveler). Allows a Traveler to view the general information of a roadmap, including Overview, Itinerary, and Budget.
Endpoint cần làm:
- RM-03 GET /api/v1/roadmaps/{roadmapId}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</si>
  <si>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T069</t>
  </si>
  <si>
    <t>[BE] F-35 View Detail Blog</t>
  </si>
  <si>
    <t>Use case F-35 View Detail Blog (Actor: Guest, Traveler). Allows a Guest or Traveler to view the full content of a specific blog post, together with related information such as the author and the allowed interactions.
Endpoint cần làm:
- BLOG-02 GET /api/v1/blogs/{blogId}
- BLOG-03 GET /api/v1/blogs/{blogId}/comments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</si>
  <si>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T072</t>
  </si>
  <si>
    <t>[FE] F-36 Write Blog</t>
  </si>
  <si>
    <t>Use case F-36 Write Blog (Actor: Traveler). Allows a Traveler to write about their impressions and thoughts on a roadmap they have experienced. The user enters the required content; the system then validates it and saves the post in the appropriate status.
Endpoint cần gọi:
- BLOG-04 POST /api/v1/blogs
- MEDIA-01 POST /api/v1/media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</si>
  <si>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T163</t>
  </si>
  <si>
    <t>Report 4: SDS v1.2</t>
  </si>
  <si>
    <t>T152</t>
  </si>
  <si>
    <t>Reco P2: Implicit score từ lịch sử tương tác</t>
  </si>
  <si>
    <t>Recommendation_System_Design_Ver1.0 mục 3.2. | Làm sau: Reco P2: Lưu like/dislike vào interaction_events (RECO-04 /feedback).</t>
  </si>
  <si>
    <t>29/10/2026</t>
  </si>
  <si>
    <t>T042</t>
  </si>
  <si>
    <t>[FE] F-21 View My Roadmap Detail</t>
  </si>
  <si>
    <t>Use case F-21 View My Roadmap Detail (Actor: Traveler). Allows a Traveler to view the general information of a roadmap, including Overview, Itinerary, and Budget.
Endpoint cần gọi:
- RM-03 GET /api/v1/roadmaps/{roadmapId}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</si>
  <si>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T043</t>
  </si>
  <si>
    <t>[BE] F-22 Delete My Roadmap</t>
  </si>
  <si>
    <t>Use case F-22 Delete My Roadmap (Actor: Traveler). Allows a Traveler to delete their roadmap. The system asks for confirmation if needed and removes the roadmap from the My Roadmap list without affecting other roadmaps.
Endpoint cần làm:
- RM-05 DELETE /api/v1/roadmaps/{roadmapId}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</si>
  <si>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T068</t>
  </si>
  <si>
    <t>[FE] F-34 View Public Blog</t>
  </si>
  <si>
    <t>Use case F-34 View Public Blog (Actor: Guest, Traveler). Allows a Guest or Traveler to view the list of public blog posts on ANGI. The system shows the posts allowed to be public along with their basic information so users can discover content.
Endpoint cần gọi:
- BLOG-01 GET /api/v1/blogs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</si>
  <si>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T073</t>
  </si>
  <si>
    <t>[BE] F-37 View My Blog</t>
  </si>
  <si>
    <t>Use case F-37 View My Blog (Actor: Traveler). Allows a Traveler to view the list of blog posts they have created, including the status and basic information of each post.
Endpoint cần làm:
- BLOG-05 GET /api/v1/me/blogs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</si>
  <si>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T044</t>
  </si>
  <si>
    <t>[FE] F-22 Delete My Roadmap</t>
  </si>
  <si>
    <t>Use case F-22 Delete My Roadmap (Actor: Traveler). Allows a Traveler to delete their roadmap. The system asks for confirmation if needed and removes the roadmap from the My Roadmap list without affecting other roadmaps.
Endpoint cần gọi:
- RM-05 DELETE /api/v1/roadmaps/{roadmapId}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</si>
  <si>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T049</t>
  </si>
  <si>
    <t>[BE] F-25 Add Dish and Place</t>
  </si>
  <si>
    <t>Use case F-25 Add Dish and Place (Actor: Traveler). Allows a Traveler to browse the system's recommended list of dishes with their corresponding places and select a dish and place. The system validates the item and adds it to the corresponding day or position in the roadmap.
Endpoint cần làm:
- RM-06 GET /api/v1/roadmaps/{roadmapId}/suggestions
- RM-07 POST /api/v1/roadmaps/{roadmapId}/days/{dayId}/items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</si>
  <si>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T070</t>
  </si>
  <si>
    <t>[FE] F-35 View Detail Blog</t>
  </si>
  <si>
    <t>Use case F-35 View Detail Blog (Actor: Guest, Traveler). Allows a Guest or Traveler to view the full content of a specific blog post, together with related information such as the author and the allowed interactions.
Endpoint cần gọi:
- BLOG-02 GET /api/v1/blogs/{blogId}
- BLOG-03 GET /api/v1/blogs/{blogId}/comments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</si>
  <si>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T075</t>
  </si>
  <si>
    <t>[BE] F-38 Edit Blog</t>
  </si>
  <si>
    <t>Use case F-38 Edit Blog (Actor: Traveler). Allows a Traveler to edit the content and basic information of a blog post they created.
Endpoint cần làm:
- BLOG-06 PATCH /api/v1/blogs/{blogId}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</si>
  <si>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T047</t>
  </si>
  <si>
    <t>[BE] F-24 Add Roadmap Item Manually</t>
  </si>
  <si>
    <t>Use case F-24 Add Roadmap Item Manually (Actor: Traveler). Allows a Traveler to manually add a dish and its corresponding place from the system's recommendation list (UC Add Dish and Place) to the roadmap, without using the system's AI roadmap generation.
Endpoint cần làm:
- RM-07 POST /api/v1/roadmaps/{roadmapId}/days/{dayId}/items
- RM-06 GET /api/v1/roadmaps/{roadmapId}/suggestions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F-25 Add Dish and Place.</t>
  </si>
  <si>
    <t>T057</t>
  </si>
  <si>
    <t>[BE] F-29 View Roadmap Item Detail</t>
  </si>
  <si>
    <t>Use case F-29 View Roadmap Item Detail (Actor: Traveler). Allows a Traveler to view the details of a roadmap item, including the dish, the corresponding restaurant, location information, and other related data provided by the system.
Endpoint cần làm:
- RM-12 GET /api/v1/roadmaps/{roadmapId}/items/{itemId}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</si>
  <si>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T077</t>
  </si>
  <si>
    <t>[BE] F-39 Delete Blog</t>
  </si>
  <si>
    <t>Use case F-39 Delete Blog (Actor: Traveler). Allows a Traveler to delete a blog post they created.
Endpoint cần làm:
- BLOG-07 DELETE /api/v1/blogs/{blogId}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</si>
  <si>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T050</t>
  </si>
  <si>
    <t>[FE] F-25 Add Dish and Place</t>
  </si>
  <si>
    <t>Use case F-25 Add Dish and Place (Actor: Traveler). Allows a Traveler to browse the system's recommended list of dishes with their corresponding places and select a dish and place. The system validates the item and adds it to the corresponding day or position in the roadmap.
Endpoint cần gọi:
- RM-06 GET /api/v1/roadmaps/{roadmapId}/suggestions
- RM-07 POST /api/v1/roadmaps/{roadmapId}/days/{dayId}/items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</si>
  <si>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30/10/2026</t>
  </si>
  <si>
    <t>T074</t>
  </si>
  <si>
    <t>[FE] F-37 View My Blog</t>
  </si>
  <si>
    <t>Use case F-37 View My Blog (Actor: Traveler). Allows a Traveler to view the list of blog posts they have created, including the status and basic information of each post.
Endpoint cần gọi:
- BLOG-05 GET /api/v1/me/blogs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</si>
  <si>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T079</t>
  </si>
  <si>
    <t>[BE] F-40 Interact With Blog</t>
  </si>
  <si>
    <t>Use case F-40 Interact With Blog (Actor: Traveler). Allows a Traveler to perform the interactions supported by the system on a blog post, such as commenting or other forms of interaction.
Endpoint cần làm:
- BLOG-08 PUT /api/v1/blogs/{blogId}/like
- BLOG-09 DELETE /api/v1/blogs/{blogId}/like
- BLOG-10 POST /api/v1/blogs/{blogId}/comments
- REP-02 POST /api/v1/blogs/{blogId}/reports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</si>
  <si>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T051</t>
  </si>
  <si>
    <t>[BE] F-26 Add Roadmap Item with AI Generation</t>
  </si>
  <si>
    <t>Use case F-26 Add Roadmap Item with AI Generation (Actor: Traveler). Allows a Traveler to ask the system to automatically add suitable dishes and their corresponding places to the roadmap. Using the user's recommended dish list and the constraints provided earlier, the system generates a full roadmap with complete items; the user then reviews the whole journey and can edit any part if desired.
Endpoint cần làm:
- RM-10 POST /api/v1/roadmaps/{roadmapId}/generate
- RM-11 GET /api/v1/roadmaps/{roadmapId}/generation-jobs/{jobId}
Ghi chú: Chạy nền: tạo roadmap_generation_jobs, app hỏi trạng thái qua RM-11. Ứng viên món lấy qua RECO-05; thống nhất phần gọi reco với Dũng.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F-19 Plan New Roadmap.</t>
  </si>
  <si>
    <t>T153</t>
  </si>
  <si>
    <t>Reco P2: Personalized score + Community score + Final score</t>
  </si>
  <si>
    <t>Recommendation_System_Design_Ver1.0 mục 3.2–3.3. Deliverable: Personalized Score + Final Score. | Làm sau: Reco P2: Implicit score từ lịch sử tương tác.</t>
  </si>
  <si>
    <t>T048</t>
  </si>
  <si>
    <t>[FE] F-24 Add Roadmap Item Manually</t>
  </si>
  <si>
    <t>Use case F-24 Add Roadmap Item Manually (Actor: Traveler). Allows a Traveler to manually add a dish and its corresponding place from the system's recommendation list (UC Add Dish and Place) to the roadmap, without using the system's AI roadmap generation.
Endpoint cần gọi:
- RM-07 POST /api/v1/roadmaps/{roadmapId}/days/{dayId}/items
- RM-06 GET /api/v1/roadmaps/{roadmapId}/suggestions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</si>
  <si>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T081</t>
  </si>
  <si>
    <t>[BE] F-41 Comment Blog</t>
  </si>
  <si>
    <t>Use case F-41 Comment Blog (Actor: Traveler). Allows a Traveler to write and post a comment on a blog post. The system checks the content against the required rules and saves the comment if it is valid.
Endpoint cần làm:
- BLOG-10 POST /api/v1/blogs/{blogId}/comments
- BLOG-11 DELETE /api/v1/blogs/{blogId}/comments/{commentId}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</si>
  <si>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T058</t>
  </si>
  <si>
    <t>[FE] F-29 View Roadmap Item Detail</t>
  </si>
  <si>
    <t>Use case F-29 View Roadmap Item Detail (Actor: Traveler). Allows a Traveler to view the details of a roadmap item, including the dish, the corresponding restaurant, location information, and other related data provided by the system.
Endpoint cần gọi:
- RM-12 GET /api/v1/roadmaps/{roadmapId}/items/{itemId}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</si>
  <si>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T076</t>
  </si>
  <si>
    <t>[FE] F-38 Edit Blog</t>
  </si>
  <si>
    <t>Use case F-38 Edit Blog (Actor: Traveler). Allows a Traveler to edit the content and basic information of a blog post they created.
Endpoint cần gọi:
- BLOG-06 PATCH /api/v1/blogs/{blogId}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</si>
  <si>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T083</t>
  </si>
  <si>
    <t>[BE] F-42 Report Blog</t>
  </si>
  <si>
    <t>Use case F-42 Report Blog (Actor: Traveler). Allows a Traveler to report a blog post they consider inappropriate or in violation of the rules. The system records the report and forwards the content to the moderation process.
Endpoint cần làm:
- REP-02 POST /api/v1/blogs/{blogId}/reports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</si>
  <si>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T078</t>
  </si>
  <si>
    <t>[FE] F-39 Delete Blog</t>
  </si>
  <si>
    <t>Use case F-39 Delete Blog (Actor: Traveler). Allows a Traveler to delete a blog post they created.
Endpoint cần gọi:
- BLOG-07 DELETE /api/v1/blogs/{blogId}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</si>
  <si>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T052</t>
  </si>
  <si>
    <t>[FE] F-26 Add Roadmap Item with AI Generation</t>
  </si>
  <si>
    <t>Use case F-26 Add Roadmap Item with AI Generation (Actor: Traveler). Allows a Traveler to ask the system to automatically add suitable dishes and their corresponding places to the roadmap. Using the user's recommended dish list and the constraints provided earlier, the system generates a full roadmap with complete items; the user then reviews the whole journey and can edit any part if desired.
Endpoint cần gọi:
- RM-10 POST /api/v1/roadmaps/{roadmapId}/generate
- RM-11 GET /api/v1/roadmaps/{roadmapId}/generation-jobs/{jobId}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</si>
  <si>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01/11/2026</t>
  </si>
  <si>
    <t>T053</t>
  </si>
  <si>
    <t>[BE] F-27 Edit Roadmap Item</t>
  </si>
  <si>
    <t>Use case F-27 Edit Roadmap Item (Actor: Traveler). Allows a Traveler to replace an existing roadmap item with a more suitable one. For example, if breakfast is currently “Bún bò”, the user can pick another dish from the system's recommendation list to replace it, and the restaurant location changes accordingly. The system validates the change and updates the roadmap.
Endpoint cần làm:
- RM-08 PATCH /api/v1/roadmaps/{roadmapId}/items/{itemId}
- RM-06 GET /api/v1/roadmaps/{roadmapId}/suggestions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</si>
  <si>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T059</t>
  </si>
  <si>
    <t>[BE] F-30 Rate Dish</t>
  </si>
  <si>
    <t>Use case F-30 Rate Dish (Actor: Traveler). Allows a Traveler to rate how much they like a dish after interacting with or trying it. The system stores the user's rating (like/dislike) and uses it as implicit/explicit feedback to personalize recommendations.
Endpoint cần làm:
- RM-13 POST /api/v1/roadmaps/{roadmapId}/items/{itemId}/feedback
Ghi chú: Like/dislike 1 lần mỗi roadmap item (dish_feedbacks). Ghi outbox FEEDBACK_CREATED trong cùng transaction, không gọi reco trực tiếp.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Hưng review. | Làm sau: Reco P2: Lưu like/dislike vào interaction_events (RECO-04 /feedback), [BE] F-29 View Roadmap Item Detail.</t>
  </si>
  <si>
    <t>T061</t>
  </si>
  <si>
    <t>[BE] F-31 Feedback Restaurant</t>
  </si>
  <si>
    <t>Use case F-31 Feedback Restaurant (Actor: Traveler). Allows a Traveler to give feedback on a restaurant based on their experience. The system stores the rating/review and updates the restaurant's rating data accordingly.
Endpoint cần làm:
- REV-01 POST /api/v1/restaurants/{restaurantId}/reviews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</si>
  <si>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T080</t>
  </si>
  <si>
    <t>[FE] F-40 Interact With Blog</t>
  </si>
  <si>
    <t>Use case F-40 Interact With Blog (Actor: Traveler). Allows a Traveler to perform the interactions supported by the system on a blog post, such as commenting or other forms of interaction.
Endpoint cần gọi:
- BLOG-08 PUT /api/v1/blogs/{blogId}/like
- BLOG-09 DELETE /api/v1/blogs/{blogId}/like
- BLOG-10 POST /api/v1/blogs/{blogId}/comments
- REP-02 POST /api/v1/blogs/{blogId}/reports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</si>
  <si>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T045</t>
  </si>
  <si>
    <t>[BE] F-23 Share My Roadmap</t>
  </si>
  <si>
    <t>Use case F-23 Share My Roadmap (Actor: Traveler). Allows a Traveler to share their roadmap with others through the sharing mechanism provided by the system. The user writes a blog post about the roadmap (UC Write Blog) before it is shared with the community.
Endpoint cần làm:
- BLOG-04 POST /api/v1/blogs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F-36 Write Blog.</t>
  </si>
  <si>
    <t>T055</t>
  </si>
  <si>
    <t>[BE] F-28 Delete Roadmap Item</t>
  </si>
  <si>
    <t>Use case F-28 Delete Roadmap Item (Actor: Traveler). Allows a Traveler to remove a dish and its corresponding place from the current roadmap. The system asks for confirmation if needed and removes the item without affecting other items.
Endpoint cần làm:
- RM-09 DELETE /api/v1/roadmaps/{roadmapId}/items/{itemId}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</si>
  <si>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T063</t>
  </si>
  <si>
    <t>[BE] F-32 Reply Feedback</t>
  </si>
  <si>
    <t>Use case F-32 Reply Feedback (Actor: Restaurant Owner). Allows a Restaurant Owner to reply to users' feedback/reviews on their restaurant. The system stores the reply and displays it according to the platform's display rules.
Endpoint cần làm:
- OWN-19 GET /api/v1/owner/restaurant/reviews
- OWN-20 PUT /api/v1/owner/restaurant/reviews/{reviewId}/reply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F-31 Feedback Restaurant.</t>
  </si>
  <si>
    <t>T065</t>
  </si>
  <si>
    <t>[BE] F-33 Report Restaurant</t>
  </si>
  <si>
    <t>Use case F-33 Report Restaurant (Actor: Traveler). Allows a Traveler to report a restaurant when they find incorrect information, inappropriate behavior, or other issues that need to be reviewed. The system records the report and forwards it to the handling process.
Endpoint cần làm:
- REP-01 POST /api/v1/restaurants/{restaurantId}/reports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</si>
  <si>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T082</t>
  </si>
  <si>
    <t>[FE] F-41 Comment Blog</t>
  </si>
  <si>
    <t>Use case F-41 Comment Blog (Actor: Traveler). Allows a Traveler to write and post a comment on a blog post. The system checks the content against the required rules and saves the comment if it is valid.
Endpoint cần gọi:
- BLOG-10 POST /api/v1/blogs/{blogId}/comments
- BLOG-11 DELETE /api/v1/blogs/{blogId}/comments/{commentId}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</si>
  <si>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T054</t>
  </si>
  <si>
    <t>[FE] F-27 Edit Roadmap Item</t>
  </si>
  <si>
    <t>Use case F-27 Edit Roadmap Item (Actor: Traveler). Allows a Traveler to replace an existing roadmap item with a more suitable one. For example, if breakfast is currently “Bún bò”, the user can pick another dish from the system's recommendation list to replace it, and the restaurant location changes accordingly. The system validates the change and updates the roadmap.
Endpoint cần gọi:
- RM-08 PATCH /api/v1/roadmaps/{roadmapId}/items/{itemId}
- RM-06 GET /api/v1/roadmaps/{roadmapId}/suggestions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</si>
  <si>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T084</t>
  </si>
  <si>
    <t>[FE] F-42 Report Blog</t>
  </si>
  <si>
    <t>Use case F-42 Report Blog (Actor: Traveler). Allows a Traveler to report a blog post they consider inappropriate or in violation of the rules. The system records the report and forwards the content to the moderation process.
Endpoint cần gọi:
- REP-02 POST /api/v1/blogs/{blogId}/reports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</si>
  <si>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T056</t>
  </si>
  <si>
    <t>[FE] F-28 Delete Roadmap Item</t>
  </si>
  <si>
    <t>Use case F-28 Delete Roadmap Item (Actor: Traveler). Allows a Traveler to remove a dish and its corresponding place from the current roadmap. The system asks for confirmation if needed and removes the item without affecting other items.
Endpoint cần gọi:
- RM-09 DELETE /api/v1/roadmaps/{roadmapId}/items/{itemId}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</si>
  <si>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T062</t>
  </si>
  <si>
    <t>[FE] F-31 Feedback Restaurant</t>
  </si>
  <si>
    <t>Use case F-31 Feedback Restaurant (Actor: Traveler). Allows a Traveler to give feedback on a restaurant based on their experience. The system stores the rating/review and updates the restaurant's rating data accordingly.
Endpoint cần gọi:
- REV-01 POST /api/v1/restaurants/{restaurantId}/reviews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</si>
  <si>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T060</t>
  </si>
  <si>
    <t>[FE] F-30 Rate Dish</t>
  </si>
  <si>
    <t>Use case F-30 Rate Dish (Actor: Traveler). Allows a Traveler to rate how much they like a dish after interacting with or trying it. The system stores the user's rating (like/dislike) and uses it as implicit/explicit feedback to personalize recommendations.
Endpoint cần gọi:
- RM-13 POST /api/v1/roadmaps/{roadmapId}/items/{itemId}/feedback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</si>
  <si>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T064</t>
  </si>
  <si>
    <t>[FE] F-32 Reply Feedback</t>
  </si>
  <si>
    <t>Use case F-32 Reply Feedback (Actor: Restaurant Owner). Allows a Restaurant Owner to reply to users' feedback/reviews on their restaurant. The system stores the reply and displays it according to the platform's display rules.
Endpoint cần gọi:
- OWN-19 GET /api/v1/owner/restaurant/reviews
- OWN-20 PUT /api/v1/owner/restaurant/reviews/{reviewId}/reply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</si>
  <si>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T046</t>
  </si>
  <si>
    <t>[FE] F-23 Share My Roadmap</t>
  </si>
  <si>
    <t>Use case F-23 Share My Roadmap (Actor: Traveler). Allows a Traveler to share their roadmap with others through the sharing mechanism provided by the system. The user writes a blog post about the roadmap (UC Write Blog) before it is shared with the community.
Endpoint cần gọi:
- BLOG-04 POST /api/v1/blogs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</si>
  <si>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T066</t>
  </si>
  <si>
    <t>[FE] F-33 Report Restaurant</t>
  </si>
  <si>
    <t>Use case F-33 Report Restaurant (Actor: Traveler). Allows a Traveler to report a restaurant when they find incorrect information, inappropriate behavior, or other issues that need to be reviewed. The system records the report and forwards it to the handling process.
Endpoint cần gọi:
- REP-01 POST /api/v1/restaurants/{restaurantId}/reports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</si>
  <si>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T164</t>
  </si>
  <si>
    <t>Unit Testing Report Iteration 2</t>
  </si>
  <si>
    <t>T172</t>
  </si>
  <si>
    <t>Code freeze + tích hợp Iteration 2: merge PR vào dev, chạy toàn hệ thống</t>
  </si>
  <si>
    <t>Hết ngày code due mọi PR của iteration phải được review và merge vào dev. Ngày này: merge PR còn lại, khóa dev (chỉ nhận PR fix bug), chạy backend + reco + frontend từ dev, smoke test các luồng chính, gắn tag iteration-2. Sau đó Đức/Trọng chạy integration test; lỗi tìm được tạo issue Bug giao cho người làm feature đó, sửa trước ngày phát hành bản của iteration.</t>
  </si>
  <si>
    <t>04/11/2026</t>
  </si>
  <si>
    <t>T177</t>
  </si>
  <si>
    <t>Report 5: Integration Test Cases Iteration 2</t>
  </si>
  <si>
    <t>Viết theo use case Iteration 2 (ANGI_Use_Case_Basic_Descriptions_Ver1.0) và endpoint tương ứng (ANGI_API_Design_Ver1.6).</t>
  </si>
  <si>
    <t>T178</t>
  </si>
  <si>
    <t>Report 5: Integration Test Report Iteration 2</t>
  </si>
  <si>
    <t>Chạy test case trên bản tag iteration-2; lỗi tạo issue Bug.</t>
  </si>
  <si>
    <t>05/11/2026</t>
  </si>
  <si>
    <t>06/11/2026</t>
  </si>
  <si>
    <t>T165</t>
  </si>
  <si>
    <t>Report 3: SRS v1.2 (Detailed Requirements Iteration 3)</t>
  </si>
  <si>
    <t>07/11/2026</t>
  </si>
  <si>
    <t>T179</t>
  </si>
  <si>
    <t>Software Package Version 2 (deploy + release note)</t>
  </si>
  <si>
    <t>Deploy bản của iteration từ tag iteration-2 lên Render (backend, reco, PostgreSQL) và Vercel (frontend); viết release note liệt kê feature đã xong và lỗi còn tồn.</t>
  </si>
  <si>
    <t>T103</t>
  </si>
  <si>
    <t>[BE] F-52 Moderate User</t>
  </si>
  <si>
    <t>Use case F-52 Moderate User (Actor: Mod). Allows a Mod to review and handle user accounts when violations or issues requiring moderation are detected. The system provides the necessary information and allows the Mod to perform the actions they are authorized for.
Endpoint cần làm:
- MOD-U1 GET /api/v1/mod/users
- MOD-U2 GET /api/v1/mod/users/{userId}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</si>
  <si>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backend iteration3</t>
  </si>
  <si>
    <t>T104</t>
  </si>
  <si>
    <t>[FE] F-52 Moderate User</t>
  </si>
  <si>
    <t>Use case F-52 Moderate User (Actor: Mod). Allows a Mod to review and handle user accounts when violations or issues requiring moderation are detected. The system provides the necessary information and allows the Mod to perform the actions they are authorized for.
Endpoint cần gọi:
- MOD-U1 GET /api/v1/mod/users
- MOD-U2 GET /api/v1/mod/users/{userId}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</si>
  <si>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10/11/2026</t>
  </si>
  <si>
    <t>frontend iteration3</t>
  </si>
  <si>
    <t>T119</t>
  </si>
  <si>
    <t>[BE] F-60 Handle Social Report</t>
  </si>
  <si>
    <t>Use case F-60 Handle Social Report (Actor: Mod). Allows a Mod to handle reports related to social content such as blog posts or comments. The handler reviews the content and report information and takes the appropriate action according to the moderation policy.
Endpoint cần làm:
- MOD-RP1 GET /api/v1/mod/reports
- MOD-RP2 GET /api/v1/mod/reports/{reportId}
- MOD-RP3 POST /api/v1/mod/reports/{reportId}/claim
- MOD-RP4 POST /api/v1/mod/reports/{reportId}/resolve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</si>
  <si>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T131</t>
  </si>
  <si>
    <t>[BE] F-66 Manage Permission</t>
  </si>
  <si>
    <t>Use case F-66 Manage Permission (Actor: Admin). Allows an Admin to manage the access permissions of Mods in the system. The Admin can view and update the allowed permissions according to ANGI's authorization policy.
Endpoint cần làm:
- ADM-P1 GET /api/v1/admin/permissions
- ADM-P2 GET /api/v1/admin/mods/{userId}/permissions
- ADM-P3 PUT /api/v1/admin/mods/{userId}/permissions
- ADM-P4 PUT /api/v1/admin/roles/MOD/permissions
Ghi chú: Quyền hiệu lực = quyền mặc định của role + allow − deny (user_permissions), đọc từ DB, không nằm trong JWT.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</si>
  <si>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T132</t>
  </si>
  <si>
    <t>[FE] F-66 Manage Permission</t>
  </si>
  <si>
    <t>Use case F-66 Manage Permission (Actor: Admin). Allows an Admin to manage the access permissions of Mods in the system. The Admin can view and update the allowed permissions according to ANGI's authorization policy.
Endpoint cần gọi:
- ADM-P1 GET /api/v1/admin/permissions
- ADM-P2 GET /api/v1/admin/mods/{userId}/permissions
- ADM-P3 PUT /api/v1/admin/mods/{userId}/permissions
- ADM-P4 PUT /api/v1/admin/roles/MOD/permissions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</si>
  <si>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T154</t>
  </si>
  <si>
    <t>Reco P3: Exploration UCB + Recommend score</t>
  </si>
  <si>
    <t>Recommendation_System_Design_Ver1.0 mục 3.4. Deliverable: Exploration Score + Recommend Score.</t>
  </si>
  <si>
    <t>12/11/2026</t>
  </si>
  <si>
    <t>T105</t>
  </si>
  <si>
    <t>[BE] F-53 Suspend/Ban User</t>
  </si>
  <si>
    <t>Use case F-53 Suspend/Ban User (Actor: Mod). Allows a Mod to suspend or ban a user account according to the permitted level of action. The system updates the account status and prevents the user from using features they are no longer allowed to use.
Endpoint cần làm:
- MOD-U3 POST /api/v1/mod/users/{userId}/sanctions
- MOD-RP4 POST /api/v1/mod/reports/{reportId}/resolve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</si>
  <si>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11/11/2026</t>
  </si>
  <si>
    <t>T120</t>
  </si>
  <si>
    <t>[FE] F-60 Handle Social Report</t>
  </si>
  <si>
    <t>Use case F-60 Handle Social Report (Actor: Mod). Allows a Mod to handle reports related to social content such as blog posts or comments. The handler reviews the content and report information and takes the appropriate action according to the moderation policy.
Endpoint cần gọi:
- MOD-RP1 GET /api/v1/mod/reports
- MOD-RP2 GET /api/v1/mod/reports/{reportId}
- MOD-RP3 POST /api/v1/mod/reports/{reportId}/claim
- MOD-RP4 POST /api/v1/mod/reports/{reportId}/resolve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</si>
  <si>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T129</t>
  </si>
  <si>
    <t>[BE] F-65 Manage Mod</t>
  </si>
  <si>
    <t>Use case F-65 Manage Mod (Actor: Admin). Allows an Admin to manage accounts with the Moderator role, including assigning permissions, updating status, or changing roles according to system policy.
Endpoint cần làm:
- ADM-M1 GET /api/v1/admin/mods
- ADM-M2 POST /api/v1/admin/mods
- ADM-M3 GET /api/v1/admin/mods/{userId}
- ADM-M4 PATCH /api/v1/admin/mods/{userId}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</si>
  <si>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T130</t>
  </si>
  <si>
    <t>[FE] F-65 Manage Mod</t>
  </si>
  <si>
    <t>Use case F-65 Manage Mod (Actor: Admin). Allows an Admin to manage accounts with the Moderator role, including assigning permissions, updating status, or changing roles according to system policy.
Endpoint cần gọi:
- ADM-M1 GET /api/v1/admin/mods
- ADM-M2 POST /api/v1/admin/mods
- ADM-M3 GET /api/v1/admin/mods/{userId}
- ADM-M4 PATCH /api/v1/admin/mods/{userId}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</si>
  <si>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T166</t>
  </si>
  <si>
    <t>Report 4: SDS v1.3</t>
  </si>
  <si>
    <t>T113</t>
  </si>
  <si>
    <t>[BE] F-57 Review Verification Submission</t>
  </si>
  <si>
    <t>Use case F-57 Review Verification Submission (Actor: Mod). Allows a Mod to view and review a Restaurant Owner's verification submission, including the restaurant information and the data/documents provided. The reviewer can approve or reject it according to the system's process.
Endpoint cần làm:
- MOD-V1 GET /api/v1/mod/verifications
- MOD-V2 GET /api/v1/mod/verifications/{verificationId}
- MOD-V3 POST /api/v1/mod/verifications/{verificationId}/decision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F-66 Manage Permission.</t>
  </si>
  <si>
    <t>T121</t>
  </si>
  <si>
    <t>[BE] F-61 Moderate User Blog</t>
  </si>
  <si>
    <t>Use case F-61 Moderate User Blog (Actor: Mod). Allows a Mod to review and handle user-created blog posts when they are reported or need moderation. The available actions depend on the Mod's permissions.
Endpoint cần làm:
- MOD-B1 GET /api/v1/mod/blogs
- MOD-B2 PUT /api/v1/mod/blogs/{blogId}/status
- MOD-B3 PUT /api/v1/mod/blog-comments/{commentId}/status
- MOD-RP4 POST /api/v1/mod/reports/{reportId}/resolve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</si>
  <si>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T106</t>
  </si>
  <si>
    <t>[FE] F-53 Suspend/Ban User</t>
  </si>
  <si>
    <t>Use case F-53 Suspend/Ban User (Actor: Mod). Allows a Mod to suspend or ban a user account according to the permitted level of action. The system updates the account status and prevents the user from using features they are no longer allowed to use.
Endpoint cần gọi:
- MOD-U3 POST /api/v1/mod/users/{userId}/sanctions
- MOD-RP4 POST /api/v1/mod/reports/{reportId}/resolve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</si>
  <si>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13/11/2026</t>
  </si>
  <si>
    <t>T126</t>
  </si>
  <si>
    <t>[FE] F-63 View Dashboard</t>
  </si>
  <si>
    <t>Use case F-63 View Dashboard (Actor: Admin). Allows an Admin to view an overview dashboard of system activity. The dashboard provides the statistics and metrics the Admin needs to monitor users, restaurants, content, recommendations, and administrative activities.
Endpoint cần gọi:
- ADM-D1 GET /api/v1/admin/dashboard/summary
- ADM-D2 GET /api/v1/admin/dashboard/timeseries
- ADM-D3 GET /api/v1/admin/dashboard/top
- OPS-01 GET /api/v1/admin/outbox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</si>
  <si>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T107</t>
  </si>
  <si>
    <t>[BE] F-54 Unban User</t>
  </si>
  <si>
    <t>Use case F-54 Unban User (Actor: Mod). Allows a Mod to lift the ban on an account when it is eligible to be restored. The system updates the account status and restores the corresponding permissions.
Endpoint cần làm:
- MOD-U4 POST /api/v1/mod/users/{userId}/unban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</si>
  <si>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T123</t>
  </si>
  <si>
    <t>[BE] F-62 Moderate User Feedback</t>
  </si>
  <si>
    <t>Use case F-62 Moderate User Feedback (Actor: Mod). Allows a Mod to review and handle feedback or reviews submitted by users when the content is reported or violates the rules.
Endpoint cần làm:
- MOD-F1 GET /api/v1/mod/reviews
- MOD-F2 PUT /api/v1/mod/reviews/{reviewId}/status
- MOD-F3 PUT /api/v1/mod/reviews/{reviewId}/reply/status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</si>
  <si>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T115</t>
  </si>
  <si>
    <t>[BE] F-58 Review Pending Menu Submission</t>
  </si>
  <si>
    <t>Use case F-58 Review Pending Menu Submission (Actor: Mod). Allows a Mod to view and review a restaurant's menu submission awaiting approval, including the restaurant's menu information. The reviewer can approve or reject it according to the system's process.
Endpoint cần làm:
- MOD-M1 GET /api/v1/mod/menu-submissions
- MOD-M2 GET /api/v1/mod/menu-submissions/{submissionId}
- MOD-M3 POST /api/v1/mod/menu-submissions/{submissionId}/approve
- MOD-M4 POST /api/v1/mod/menu-submissions/{submissionId}/reject
Ghi chú: Duyệt thì thay menu trong 1 transaction, giữ dish_id của món được sửa; ghi outbox DISH_UPSERTED / DISH_DEACTIVATED.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 | Làm sau: [BE] F-66 Manage Permission.</t>
  </si>
  <si>
    <t>14/11/2026</t>
  </si>
  <si>
    <t>T155</t>
  </si>
  <si>
    <t>Reco P3: Đánh giá offline (bộ kịch bản + metric) cho báo cáo</t>
  </si>
  <si>
    <t>So sánh các bộ tham số ở Recommendation_System_Design_Ver1.0 mục 3.5 dựa trên recommendation_logs / recommendation_items. | Làm sau: Reco P3: Exploration UCB + Recommend score.</t>
  </si>
  <si>
    <t>T109</t>
  </si>
  <si>
    <t>[BE] F-55 View User Audit Logs</t>
  </si>
  <si>
    <t>Use case F-55 View User Audit Logs (Actor: Mod). Allows a Mod to view the history of important activities related to user accounts. The system shows the audit records needed to support activity tracking and review.
Endpoint cần làm:
- MOD-U5 GET /api/v1/mod/users/{userId}/audit-logs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</si>
  <si>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T122</t>
  </si>
  <si>
    <t>[FE] F-61 Moderate User Blog</t>
  </si>
  <si>
    <t>Use case F-61 Moderate User Blog (Actor: Mod). Allows a Mod to review and handle user-created blog posts when they are reported or need moderation. The available actions depend on the Mod's permissions.
Endpoint cần gọi:
- MOD-B1 GET /api/v1/mod/blogs
- MOD-B2 PUT /api/v1/mod/blogs/{blogId}/status
- MOD-B3 PUT /api/v1/mod/blog-comments/{commentId}/status
- MOD-RP4 POST /api/v1/mod/reports/{reportId}/resolve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</si>
  <si>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T128</t>
  </si>
  <si>
    <t>[FE] F-64 View System Audits Log</t>
  </si>
  <si>
    <t>Use case F-64 View System Audits Log (Actor: Admin). Allows an Admin to view the history of important actions recorded by the system, including administrative operations, data changes, and events needed for auditing and troubleshooting.
Endpoint cần gọi:
- ADM-A1 GET /api/v1/admin/audit-logs
- ADM-A2 GET /api/v1/admin/audit-logs/{auditLogId}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</si>
  <si>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T125</t>
  </si>
  <si>
    <t>[BE] F-63 View Dashboard</t>
  </si>
  <si>
    <t>Use case F-63 View Dashboard (Actor: Admin). Allows an Admin to view an overview dashboard of system activity. The dashboard provides the statistics and metrics the Admin needs to monitor users, restaurants, content, recommendations, and administrative activities.
Endpoint cần làm:
- ADM-D1 GET /api/v1/admin/dashboard/summary
- ADM-D2 GET /api/v1/admin/dashboard/timeseries
- ADM-D3 GET /api/v1/admin/dashboard/top
- OPS-01 GET /api/v1/admin/outbox
Ghi chú: Chỉ đọc schema core. Có thêm OPS-01 để Admin xem outbox bị lỗi.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</si>
  <si>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15/11/2026</t>
  </si>
  <si>
    <t>T108</t>
  </si>
  <si>
    <t>[FE] F-54 Unban User</t>
  </si>
  <si>
    <t>Use case F-54 Unban User (Actor: Mod). Allows a Mod to lift the ban on an account when it is eligible to be restored. The system updates the account status and restores the corresponding permissions.
Endpoint cần gọi:
- MOD-U4 POST /api/v1/mod/users/{userId}/unban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</si>
  <si>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T111</t>
  </si>
  <si>
    <t>[BE] F-56 Moderate Restaurant</t>
  </si>
  <si>
    <t>Use case F-56 Moderate Restaurant (Actor: Mod). Allows a Mod to review and handle restaurant-related issues in the system, such as incorrect information, rule violations, or reports from users.
Endpoint cần làm:
- MOD-R1 GET /api/v1/mod/restaurants
- MOD-R2 GET /api/v1/mod/restaurants/{restaurantId}
- MOD-R3 PUT /api/v1/mod/restaurants/{restaurantId}/moderation-status
- MOD-R4 PUT /api/v1/mod/dishes/{dishId}/moderation-status
- MOD-RP4 POST /api/v1/mod/reports/{reportId}/resolve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</si>
  <si>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T114</t>
  </si>
  <si>
    <t>[FE] F-57 Review Verification Submission</t>
  </si>
  <si>
    <t>Use case F-57 Review Verification Submission (Actor: Mod). Allows a Mod to view and review a Restaurant Owner's verification submission, including the restaurant information and the data/documents provided. The reviewer can approve or reject it according to the system's process.
Endpoint cần gọi:
- MOD-V1 GET /api/v1/mod/verifications
- MOD-V2 GET /api/v1/mod/verifications/{verificationId}
- MOD-V3 POST /api/v1/mod/verifications/{verificationId}/decision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</si>
  <si>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T156</t>
  </si>
  <si>
    <t>Reco P3: Tích hợp end-to-end + tối ưu đáp ứng &lt; 3 giây</t>
  </si>
  <si>
    <t>Deliverable: End-to-end Recommendation Service. | Làm sau: Reco P3: Exploration UCB + Recommend score.</t>
  </si>
  <si>
    <t>T116</t>
  </si>
  <si>
    <t>[FE] F-58 Review Pending Menu Submission</t>
  </si>
  <si>
    <t>Use case F-58 Review Pending Menu Submission (Actor: Mod). Allows a Mod to view and review a restaurant's menu submission awaiting approval, including the restaurant's menu information. The reviewer can approve or reject it according to the system's process.
Endpoint cần gọi:
- MOD-M1 GET /api/v1/mod/menu-submissions
- MOD-M2 GET /api/v1/mod/menu-submissions/{submissionId}
- MOD-M3 POST /api/v1/mod/menu-submissions/{submissionId}/approve
- MOD-M4 POST /api/v1/mod/menu-submissions/{submissionId}/reject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</si>
  <si>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T117</t>
  </si>
  <si>
    <t>[BE] F-59 Handle Restaurant Report</t>
  </si>
  <si>
    <t>Use case F-59 Handle Restaurant Report (Actor: Mod). Allows a Mod to view and handle reports related to restaurants. The handler checks the report content and restaurant information and takes the appropriate action according to the rules.
Endpoint cần làm:
- MOD-RP1 GET /api/v1/mod/reports
- MOD-RP2 GET /api/v1/mod/reports/{reportId}
- MOD-RP3 POST /api/v1/mod/reports/{reportId}/claim
- MOD-RP4 POST /api/v1/mod/reports/{reportId}/resolve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</si>
  <si>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T124</t>
  </si>
  <si>
    <t>[FE] F-62 Moderate User Feedback</t>
  </si>
  <si>
    <t>Use case F-62 Moderate User Feedback (Actor: Mod). Allows a Mod to review and handle feedback or reviews submitted by users when the content is reported or violates the rules.
Endpoint cần gọi:
- MOD-F1 GET /api/v1/mod/reviews
- MOD-F2 PUT /api/v1/mod/reviews/{reviewId}/status
- MOD-F3 PUT /api/v1/mod/reviews/{reviewId}/reply/status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</si>
  <si>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T127</t>
  </si>
  <si>
    <t>[BE] F-64 View System Audits Log</t>
  </si>
  <si>
    <t>Use case F-64 View System Audits Log (Actor: Admin). Allows an Admin to view the history of important actions recorded by the system, including administrative operations, data changes, and events needed for auditing and troubleshooting.
Endpoint cần làm:
- ADM-A1 GET /api/v1/admin/audit-logs
- ADM-A2 GET /api/v1/admin/audit-logs/{auditLogId}
Tài liệu: ANGI_Use_Case_Basic_Descriptions_Ver1.0 (use case), ANGI_API_Design_Ver1.6 (sheet Backend API, Chi tiết Request-Response, Mã lỗi), ANGI_Data_Dictionary_Ver1.0 (bảng), coding_rule.md.
DoD: Endpoint trả đúng request/response và mã lỗi như ANGI_API_Design_Ver1.6; code theo coding_rule.md; unit test tối thiểu 2 method; hiện trên Scalar; PR được Dũng review.</t>
  </si>
  <si>
    <t>T110</t>
  </si>
  <si>
    <t>[FE] F-55 View User Audit Logs</t>
  </si>
  <si>
    <t>Use case F-55 View User Audit Logs (Actor: Mod). Allows a Mod to view the history of important activities related to user accounts. The system shows the audit records needed to support activity tracking and review.
Endpoint cần gọi:
- MOD-U5 GET /api/v1/mod/users/{userId}/audit-logs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Tuấn review.</t>
  </si>
  <si>
    <t>T112</t>
  </si>
  <si>
    <t>[FE] F-56 Moderate Restaurant</t>
  </si>
  <si>
    <t>Use case F-56 Moderate Restaurant (Actor: Mod). Allows a Mod to review and handle restaurant-related issues in the system, such as incorrect information, rule violations, or reports from users.
Endpoint cần gọi:
- MOD-R1 GET /api/v1/mod/restaurants
- MOD-R2 GET /api/v1/mod/restaurants/{restaurantId}
- MOD-R3 PUT /api/v1/mod/restaurants/{restaurantId}/moderation-status
- MOD-R4 PUT /api/v1/mod/dishes/{dishId}/moderation-status
- MOD-RP4 POST /api/v1/mod/reports/{reportId}/resolve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</si>
  <si>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T118</t>
  </si>
  <si>
    <t>[FE] F-59 Handle Restaurant Report</t>
  </si>
  <si>
    <t>Use case F-59 Handle Restaurant Report (Actor: Mod). Allows a Mod to view and handle reports related to restaurants. The handler checks the report content and restaurant information and takes the appropriate action according to the rules.
Endpoint cần gọi:
- MOD-RP1 GET /api/v1/mod/reports
- MOD-RP2 GET /api/v1/mod/reports/{reportId}
- MOD-RP3 POST /api/v1/mod/reports/{reportId}/claim
- MOD-RP4 POST /api/v1/mod/reports/{reportId}/resolve
Tài liệu: ANGI_Use_Case_Basic_Descriptions_Ver1.0 (use case), ANGI_API_Design_Ver1.6 (sheet JSON mẫu để làm mock data, sheet Mã lỗi để hiện thông báo lỗi).
DoD: Màn hình chạy với mock data đúng sheet JSON mẫu, chuyển sang API thật khi BE merge; responsive; PR được Dũng review.</t>
  </si>
  <si>
    <t>T167</t>
  </si>
  <si>
    <t>Unit Testing Report Iteration 3</t>
  </si>
  <si>
    <t>T173</t>
  </si>
  <si>
    <t>Code freeze + tích hợp Iteration 3: merge PR vào dev, chạy toàn hệ thống</t>
  </si>
  <si>
    <t>Hết ngày code due mọi PR của iteration phải được review và merge vào dev. Ngày này: merge PR còn lại, khóa dev (chỉ nhận PR fix bug), chạy backend + reco + frontend từ dev, smoke test các luồng chính, gắn tag iteration-3. Sau đó Đức/Trọng chạy integration test; lỗi tìm được tạo issue Bug giao cho người làm feature đó, sửa trước ngày phát hành bản của iteration.</t>
  </si>
  <si>
    <t>18/11/2026</t>
  </si>
  <si>
    <t>T180</t>
  </si>
  <si>
    <t>Report 5: Integration Test Cases Iteration 3</t>
  </si>
  <si>
    <t>Viết theo use case Iteration 3 (ANGI_Use_Case_Basic_Descriptions_Ver1.0) và endpoint tương ứng (ANGI_API_Design_Ver1.6).</t>
  </si>
  <si>
    <t>T181</t>
  </si>
  <si>
    <t>Report 5: Integration Test Report Iteration 3</t>
  </si>
  <si>
    <t>Chạy test case trên bản tag iteration-3; lỗi tạo issue Bug.</t>
  </si>
  <si>
    <t>19/11/2026</t>
  </si>
  <si>
    <t>20/11/2026</t>
  </si>
  <si>
    <t>T182</t>
  </si>
  <si>
    <t>Report 5: System Test Cases</t>
  </si>
  <si>
    <t>Phủ đủ 66 use case trong ANGI_Use_Case_Basic_Descriptions_Ver1.0.</t>
  </si>
  <si>
    <t>21/11/2026</t>
  </si>
  <si>
    <t>T183</t>
  </si>
  <si>
    <t>Software Package Version 3 (deploy + release note)</t>
  </si>
  <si>
    <t>Deploy bản của iteration từ tag iteration-3 lên Render (backend, reco, PostgreSQL) và Vercel (frontend); viết release note liệt kê feature đã xong và lỗi còn tồn.</t>
  </si>
  <si>
    <t>T186</t>
  </si>
  <si>
    <t>Fix bug backend sau system test (auth, restaurant, roadmap)</t>
  </si>
  <si>
    <t>24/11/2026</t>
  </si>
  <si>
    <t>03/12/2026</t>
  </si>
  <si>
    <t>bugfix</t>
  </si>
  <si>
    <t>T187</t>
  </si>
  <si>
    <t>Fix bug backend sau system test (account, discovery, blog, moderation, admin)</t>
  </si>
  <si>
    <t>T188</t>
  </si>
  <si>
    <t>Fix bug frontend sau system test (owner, roadmap, admin)</t>
  </si>
  <si>
    <t>T189</t>
  </si>
  <si>
    <t>Fix bug frontend sau system test (auth, discovery, blog, moderation)</t>
  </si>
  <si>
    <t>T190</t>
  </si>
  <si>
    <t>Fix bug reco + hạ tầng sau system test</t>
  </si>
  <si>
    <t>T184</t>
  </si>
  <si>
    <t>Report 5: System Test Report (chạy system test)</t>
  </si>
  <si>
    <t>Trọng hỗ trợ chạy test backend.</t>
  </si>
  <si>
    <t>25/11/2026</t>
  </si>
  <si>
    <t>27/11/2026</t>
  </si>
  <si>
    <t>T185</t>
  </si>
  <si>
    <t>Acceptance Test Support (demo với GVHD, ghi nhận lỗi)</t>
  </si>
  <si>
    <t>30/11/2026</t>
  </si>
  <si>
    <t>01/12/2026</t>
  </si>
  <si>
    <t>T168</t>
  </si>
  <si>
    <t>Report 6: User Guides (Installation Guide, User Manual)</t>
  </si>
  <si>
    <t>Phần Installation Guide lấy từ README và cấu hình deploy của Dũng.</t>
  </si>
  <si>
    <t>T191</t>
  </si>
  <si>
    <t>Deploy bản cuối (Render + Vercel) và kiểm tra sau deploy</t>
  </si>
  <si>
    <t>Deploy bản của iteration từ dev sau khi fix bug, merge sang main lên Render (backend, reco, PostgreSQL) và Vercel (frontend); viết release note liệt kê feature đã xong và lỗi còn tồn.</t>
  </si>
  <si>
    <t>04/12/2026</t>
  </si>
  <si>
    <t>05/12/2026</t>
  </si>
  <si>
    <t>T192</t>
  </si>
  <si>
    <t>Final Software Package (docs, source code)</t>
  </si>
  <si>
    <t>T169</t>
  </si>
  <si>
    <t>Report 7: Final Project Report</t>
  </si>
  <si>
    <t>11/12/2026</t>
  </si>
  <si>
    <t>T170</t>
  </si>
  <si>
    <t>Presentation File (slide bảo vệ)</t>
  </si>
  <si>
    <t>12/12/2026</t>
  </si>
  <si>
    <t>Tổng</t>
  </si>
  <si>
    <t>Đơn vị: story point. Dũng gánh thêm việc PM nên tải code để thấp hơn các bạn khác.</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</si>
</sst>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b/>
      <color rgb="FFFFFFFF"/>
      <name val="Calibri"/>
      <scheme val="minor"/>
    </font>
    <font>
      <sz val="11.0"/>
      <color theme="1"/>
      <name val="Calibri"/>
    </font>
    <font>
      <i/>
      <color theme="1"/>
      <name val="Calibri"/>
      <scheme val="minor"/>
    </font>
  </fonts>
  <fills count="3">
    <fill>
      <patternFill patternType="none"/>
    </fill>
    <fill>
      <patternFill patternType="lightGray"/>
    </fill>
    <fill>
      <patternFill patternType="solid">
        <fgColor rgb="FF1F3864"/>
        <bgColor rgb="FF1F3864"/>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shrinkToFit="0" vertical="top" wrapText="1"/>
    </xf>
    <xf borderId="1" fillId="0" fontId="2" numFmtId="0" xfId="0" applyBorder="1" applyFont="1"/>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0.0"/>
    <col customWidth="1" min="3" max="4" width="12.0"/>
    <col customWidth="1" min="5" max="5" width="80.0"/>
    <col customWidth="1" min="6" max="6" width="10.0"/>
    <col customWidth="1" min="7" max="7" width="12.0"/>
    <col customWidth="1" min="8" max="26" width="8.71"/>
  </cols>
  <sheetData>
    <row r="1">
      <c r="A1" s="1" t="s">
        <v>0</v>
      </c>
      <c r="B1" s="1" t="s">
        <v>1</v>
      </c>
      <c r="C1" s="1" t="s">
        <v>2</v>
      </c>
      <c r="D1" s="1" t="s">
        <v>3</v>
      </c>
      <c r="E1" s="1" t="s">
        <v>4</v>
      </c>
      <c r="F1" s="1" t="s">
        <v>5</v>
      </c>
      <c r="G1" s="1" t="s">
        <v>6</v>
      </c>
    </row>
    <row r="2">
      <c r="A2" s="2" t="s">
        <v>7</v>
      </c>
      <c r="B2" s="2" t="s">
        <v>8</v>
      </c>
      <c r="C2" s="2" t="s">
        <v>9</v>
      </c>
      <c r="D2" s="2" t="s">
        <v>10</v>
      </c>
      <c r="E2" s="2" t="s">
        <v>11</v>
      </c>
      <c r="F2" s="2">
        <f>COUNTIF(Backlog!$F:$F,A2)</f>
        <v>15</v>
      </c>
      <c r="G2" s="2">
        <f>SUMIF(Backlog!$F:$F,A2,Backlog!$H:$H)</f>
        <v>45</v>
      </c>
    </row>
    <row r="3">
      <c r="A3" s="2" t="s">
        <v>12</v>
      </c>
      <c r="B3" s="2" t="s">
        <v>13</v>
      </c>
      <c r="C3" s="2" t="s">
        <v>14</v>
      </c>
      <c r="D3" s="2" t="s">
        <v>15</v>
      </c>
      <c r="E3" s="2" t="s">
        <v>16</v>
      </c>
      <c r="F3" s="2">
        <f>COUNTIF(Backlog!$F:$F,A3)</f>
        <v>63</v>
      </c>
      <c r="G3" s="2">
        <f>SUMIF(Backlog!$F:$F,A3,Backlog!$H:$H)</f>
        <v>143</v>
      </c>
    </row>
    <row r="4">
      <c r="A4" s="2" t="s">
        <v>17</v>
      </c>
      <c r="B4" s="2" t="s">
        <v>18</v>
      </c>
      <c r="C4" s="2" t="s">
        <v>19</v>
      </c>
      <c r="D4" s="2" t="s">
        <v>20</v>
      </c>
      <c r="E4" s="2" t="s">
        <v>21</v>
      </c>
      <c r="F4" s="2">
        <f>COUNTIF(Backlog!$F:$F,A4)</f>
        <v>62</v>
      </c>
      <c r="G4" s="2">
        <f>SUMIF(Backlog!$F:$F,A4,Backlog!$H:$H)</f>
        <v>142</v>
      </c>
    </row>
    <row r="5">
      <c r="A5" s="2" t="s">
        <v>22</v>
      </c>
      <c r="B5" s="2" t="s">
        <v>23</v>
      </c>
      <c r="C5" s="2" t="s">
        <v>24</v>
      </c>
      <c r="D5" s="2" t="s">
        <v>25</v>
      </c>
      <c r="E5" s="2" t="s">
        <v>26</v>
      </c>
      <c r="F5" s="2">
        <f>COUNTIF(Backlog!$F:$F,A5)</f>
        <v>40</v>
      </c>
      <c r="G5" s="2">
        <f>SUMIF(Backlog!$F:$F,A5,Backlog!$H:$H)</f>
        <v>103</v>
      </c>
    </row>
    <row r="6">
      <c r="A6" s="2" t="s">
        <v>27</v>
      </c>
      <c r="B6" s="2" t="s">
        <v>28</v>
      </c>
      <c r="C6" s="2" t="s">
        <v>29</v>
      </c>
      <c r="D6" s="2" t="s">
        <v>30</v>
      </c>
      <c r="E6" s="2" t="s">
        <v>31</v>
      </c>
      <c r="F6" s="2">
        <f>COUNTIF(Backlog!$F:$F,A6)</f>
        <v>10</v>
      </c>
      <c r="G6" s="2">
        <f>SUMIF(Backlog!$F:$F,A6,Backlog!$H:$H)</f>
        <v>25</v>
      </c>
    </row>
    <row r="7">
      <c r="A7" s="2" t="s">
        <v>32</v>
      </c>
      <c r="B7" s="2" t="s">
        <v>33</v>
      </c>
      <c r="C7" s="2" t="s">
        <v>34</v>
      </c>
      <c r="D7" s="2" t="s">
        <v>35</v>
      </c>
      <c r="E7" s="2" t="s">
        <v>36</v>
      </c>
      <c r="F7" s="2">
        <f>COUNTIF(Backlog!$F:$F,A7)</f>
        <v>2</v>
      </c>
      <c r="G7" s="2">
        <f>SUMIF(Backlog!$F:$F,A7,Backlog!$H:$H)</f>
        <v>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55.0"/>
    <col customWidth="1" min="3" max="3" width="22.0"/>
    <col customWidth="1" min="4" max="26" width="8.71"/>
  </cols>
  <sheetData>
    <row r="1">
      <c r="A1" s="1" t="s">
        <v>37</v>
      </c>
      <c r="B1" s="1" t="s">
        <v>38</v>
      </c>
      <c r="C1" s="1" t="s">
        <v>39</v>
      </c>
    </row>
    <row r="2">
      <c r="A2" s="2" t="s">
        <v>40</v>
      </c>
      <c r="B2" s="2" t="s">
        <v>41</v>
      </c>
      <c r="C2" s="2" t="s">
        <v>42</v>
      </c>
    </row>
    <row r="3">
      <c r="A3" s="2" t="s">
        <v>42</v>
      </c>
      <c r="B3" s="2" t="s">
        <v>43</v>
      </c>
      <c r="C3" s="2" t="s">
        <v>40</v>
      </c>
    </row>
    <row r="4">
      <c r="A4" s="2" t="s">
        <v>44</v>
      </c>
      <c r="B4" s="2" t="s">
        <v>45</v>
      </c>
      <c r="C4" s="2" t="s">
        <v>40</v>
      </c>
    </row>
    <row r="5">
      <c r="A5" s="2" t="s">
        <v>46</v>
      </c>
      <c r="B5" s="2" t="s">
        <v>47</v>
      </c>
      <c r="C5" s="2" t="s">
        <v>40</v>
      </c>
    </row>
    <row r="6">
      <c r="A6" s="2" t="s">
        <v>48</v>
      </c>
      <c r="B6" s="2" t="s">
        <v>49</v>
      </c>
      <c r="C6" s="2" t="s">
        <v>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32.0"/>
    <col customWidth="1" min="3" max="3" width="60.0"/>
    <col customWidth="1" min="4" max="5" width="12.0"/>
    <col customWidth="1" min="6" max="6" width="10.0"/>
    <col customWidth="1" min="7" max="7" width="12.0"/>
    <col customWidth="1" min="8" max="26" width="8.71"/>
  </cols>
  <sheetData>
    <row r="1">
      <c r="A1" s="1" t="s">
        <v>50</v>
      </c>
      <c r="B1" s="1" t="s">
        <v>51</v>
      </c>
      <c r="C1" s="1" t="s">
        <v>52</v>
      </c>
      <c r="D1" s="1" t="s">
        <v>53</v>
      </c>
      <c r="E1" s="1" t="s">
        <v>54</v>
      </c>
      <c r="F1" s="1" t="s">
        <v>5</v>
      </c>
      <c r="G1" s="1" t="s">
        <v>6</v>
      </c>
    </row>
    <row r="2">
      <c r="A2" s="2" t="s">
        <v>55</v>
      </c>
      <c r="B2" s="2" t="s">
        <v>56</v>
      </c>
      <c r="C2" s="2" t="s">
        <v>57</v>
      </c>
      <c r="D2" s="2" t="s">
        <v>9</v>
      </c>
      <c r="E2" s="2" t="s">
        <v>58</v>
      </c>
      <c r="F2" s="2">
        <f>COUNTIF(Backlog!$G:$G,A2)</f>
        <v>13</v>
      </c>
      <c r="G2" s="2">
        <f>SUMIF(Backlog!$G:$G,A2,Backlog!$H:$H)</f>
        <v>40</v>
      </c>
    </row>
    <row r="3">
      <c r="A3" s="2" t="s">
        <v>59</v>
      </c>
      <c r="B3" s="2" t="s">
        <v>60</v>
      </c>
      <c r="C3" s="2" t="s">
        <v>61</v>
      </c>
      <c r="D3" s="2" t="s">
        <v>14</v>
      </c>
      <c r="E3" s="2" t="s">
        <v>62</v>
      </c>
      <c r="F3" s="2">
        <f>COUNTIF(Backlog!$G:$G,A3)</f>
        <v>16</v>
      </c>
      <c r="G3" s="2">
        <f>SUMIF(Backlog!$G:$G,A3,Backlog!$H:$H)</f>
        <v>30</v>
      </c>
    </row>
    <row r="4">
      <c r="A4" s="2" t="s">
        <v>63</v>
      </c>
      <c r="B4" s="2" t="s">
        <v>64</v>
      </c>
      <c r="C4" s="2" t="s">
        <v>65</v>
      </c>
      <c r="D4" s="2" t="s">
        <v>19</v>
      </c>
      <c r="E4" s="2" t="s">
        <v>66</v>
      </c>
      <c r="F4" s="2">
        <f>COUNTIF(Backlog!$G:$G,A4)</f>
        <v>4</v>
      </c>
      <c r="G4" s="2">
        <f>SUMIF(Backlog!$G:$G,A4,Backlog!$H:$H)</f>
        <v>6</v>
      </c>
    </row>
    <row r="5">
      <c r="A5" s="2" t="s">
        <v>67</v>
      </c>
      <c r="B5" s="2" t="s">
        <v>68</v>
      </c>
      <c r="C5" s="2" t="s">
        <v>69</v>
      </c>
      <c r="D5" s="2" t="s">
        <v>14</v>
      </c>
      <c r="E5" s="2" t="s">
        <v>62</v>
      </c>
      <c r="F5" s="2">
        <f>COUNTIF(Backlog!$G:$G,A5)</f>
        <v>16</v>
      </c>
      <c r="G5" s="2">
        <f>SUMIF(Backlog!$G:$G,A5,Backlog!$H:$H)</f>
        <v>38</v>
      </c>
    </row>
    <row r="6">
      <c r="A6" s="2" t="s">
        <v>70</v>
      </c>
      <c r="B6" s="2" t="s">
        <v>71</v>
      </c>
      <c r="C6" s="2" t="s">
        <v>72</v>
      </c>
      <c r="D6" s="2" t="s">
        <v>19</v>
      </c>
      <c r="E6" s="2" t="s">
        <v>73</v>
      </c>
      <c r="F6" s="2">
        <f>COUNTIF(Backlog!$G:$G,A6)</f>
        <v>24</v>
      </c>
      <c r="G6" s="2">
        <f>SUMIF(Backlog!$G:$G,A6,Backlog!$H:$H)</f>
        <v>65</v>
      </c>
    </row>
    <row r="7">
      <c r="A7" s="2" t="s">
        <v>74</v>
      </c>
      <c r="B7" s="2" t="s">
        <v>75</v>
      </c>
      <c r="C7" s="2" t="s">
        <v>76</v>
      </c>
      <c r="D7" s="2" t="s">
        <v>77</v>
      </c>
      <c r="E7" s="2" t="s">
        <v>73</v>
      </c>
      <c r="F7" s="2">
        <f>COUNTIF(Backlog!$G:$G,A7)</f>
        <v>6</v>
      </c>
      <c r="G7" s="2">
        <f>SUMIF(Backlog!$G:$G,A7,Backlog!$H:$H)</f>
        <v>12</v>
      </c>
    </row>
    <row r="8">
      <c r="A8" s="2" t="s">
        <v>78</v>
      </c>
      <c r="B8" s="2" t="s">
        <v>79</v>
      </c>
      <c r="C8" s="2" t="s">
        <v>80</v>
      </c>
      <c r="D8" s="2" t="s">
        <v>19</v>
      </c>
      <c r="E8" s="2" t="s">
        <v>81</v>
      </c>
      <c r="F8" s="2">
        <f>COUNTIF(Backlog!$G:$G,A8)</f>
        <v>18</v>
      </c>
      <c r="G8" s="2">
        <f>SUMIF(Backlog!$G:$G,A8,Backlog!$H:$H)</f>
        <v>36</v>
      </c>
    </row>
    <row r="9">
      <c r="A9" s="2" t="s">
        <v>82</v>
      </c>
      <c r="B9" s="2" t="s">
        <v>83</v>
      </c>
      <c r="C9" s="2" t="s">
        <v>84</v>
      </c>
      <c r="D9" s="2" t="s">
        <v>14</v>
      </c>
      <c r="E9" s="2" t="s">
        <v>62</v>
      </c>
      <c r="F9" s="2">
        <f>COUNTIF(Backlog!$G:$G,A9)</f>
        <v>18</v>
      </c>
      <c r="G9" s="2">
        <f>SUMIF(Backlog!$G:$G,A9,Backlog!$H:$H)</f>
        <v>45</v>
      </c>
    </row>
    <row r="10">
      <c r="A10" s="2" t="s">
        <v>85</v>
      </c>
      <c r="B10" s="2" t="s">
        <v>86</v>
      </c>
      <c r="C10" s="2" t="s">
        <v>87</v>
      </c>
      <c r="D10" s="2" t="s">
        <v>24</v>
      </c>
      <c r="E10" s="2" t="s">
        <v>88</v>
      </c>
      <c r="F10" s="2">
        <f>COUNTIF(Backlog!$G:$G,A10)</f>
        <v>22</v>
      </c>
      <c r="G10" s="2">
        <f>SUMIF(Backlog!$G:$G,A10,Backlog!$H:$H)</f>
        <v>51</v>
      </c>
    </row>
    <row r="11">
      <c r="A11" s="2" t="s">
        <v>89</v>
      </c>
      <c r="B11" s="2" t="s">
        <v>90</v>
      </c>
      <c r="C11" s="2" t="s">
        <v>91</v>
      </c>
      <c r="D11" s="2" t="s">
        <v>24</v>
      </c>
      <c r="E11" s="2" t="s">
        <v>92</v>
      </c>
      <c r="F11" s="2">
        <f>COUNTIF(Backlog!$G:$G,A11)</f>
        <v>8</v>
      </c>
      <c r="G11" s="2">
        <f>SUMIF(Backlog!$G:$G,A11,Backlog!$H:$H)</f>
        <v>28</v>
      </c>
    </row>
    <row r="12">
      <c r="A12" s="2" t="s">
        <v>93</v>
      </c>
      <c r="B12" s="2" t="s">
        <v>94</v>
      </c>
      <c r="C12" s="2" t="s">
        <v>95</v>
      </c>
      <c r="D12" s="2" t="s">
        <v>14</v>
      </c>
      <c r="E12" s="2" t="s">
        <v>92</v>
      </c>
      <c r="F12" s="2">
        <f>COUNTIF(Backlog!$G:$G,A12)</f>
        <v>11</v>
      </c>
      <c r="G12" s="2">
        <f>SUMIF(Backlog!$G:$G,A12,Backlog!$H:$H)</f>
        <v>37</v>
      </c>
    </row>
    <row r="13">
      <c r="A13" s="2" t="s">
        <v>96</v>
      </c>
      <c r="B13" s="2" t="s">
        <v>97</v>
      </c>
      <c r="C13" s="2" t="s">
        <v>98</v>
      </c>
      <c r="D13" s="2" t="s">
        <v>9</v>
      </c>
      <c r="E13" s="2" t="s">
        <v>35</v>
      </c>
      <c r="F13" s="2">
        <f>COUNTIF(Backlog!$G:$G,A13)</f>
        <v>14</v>
      </c>
      <c r="G13" s="2">
        <f>SUMIF(Backlog!$G:$G,A13,Backlog!$H:$H)</f>
        <v>31</v>
      </c>
    </row>
    <row r="14">
      <c r="A14" s="2" t="s">
        <v>99</v>
      </c>
      <c r="B14" s="2" t="s">
        <v>100</v>
      </c>
      <c r="C14" s="2" t="s">
        <v>101</v>
      </c>
      <c r="D14" s="2" t="s">
        <v>62</v>
      </c>
      <c r="E14" s="2" t="s">
        <v>30</v>
      </c>
      <c r="F14" s="2">
        <f>COUNTIF(Backlog!$G:$G,A14)</f>
        <v>22</v>
      </c>
      <c r="G14" s="2">
        <f>SUMIF(Backlog!$G:$G,A14,Backlog!$H:$H)</f>
        <v>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13.71"/>
    <col customWidth="1" min="3" max="3" width="48.0"/>
    <col customWidth="1" min="4" max="4" width="70.0"/>
    <col customWidth="1" min="5" max="5" width="20.0"/>
    <col customWidth="1" min="6" max="6" width="15.0"/>
    <col customWidth="1" min="7" max="7" width="11.0"/>
    <col customWidth="1" min="8" max="8" width="8.0"/>
    <col customWidth="1" min="9" max="10" width="12.0"/>
    <col customWidth="1" min="11" max="11" width="18.0"/>
    <col customWidth="1" min="12" max="26" width="8.71"/>
  </cols>
  <sheetData>
    <row r="1">
      <c r="A1" s="1" t="s">
        <v>102</v>
      </c>
      <c r="B1" s="1" t="s">
        <v>103</v>
      </c>
      <c r="C1" s="1" t="s">
        <v>104</v>
      </c>
      <c r="D1" s="1" t="s">
        <v>105</v>
      </c>
      <c r="E1" s="1" t="s">
        <v>106</v>
      </c>
      <c r="F1" s="1" t="s">
        <v>0</v>
      </c>
      <c r="G1" s="1" t="s">
        <v>51</v>
      </c>
      <c r="H1" s="1" t="s">
        <v>107</v>
      </c>
      <c r="I1" s="1" t="s">
        <v>53</v>
      </c>
      <c r="J1" s="1" t="s">
        <v>108</v>
      </c>
      <c r="K1" s="1" t="s">
        <v>109</v>
      </c>
    </row>
    <row r="2" hidden="1">
      <c r="A2" s="2" t="s">
        <v>110</v>
      </c>
      <c r="B2" s="2" t="s">
        <v>111</v>
      </c>
      <c r="C2" s="2" t="s">
        <v>112</v>
      </c>
      <c r="D2" s="2" t="s">
        <v>113</v>
      </c>
      <c r="E2" s="2" t="s">
        <v>40</v>
      </c>
      <c r="F2" s="2" t="s">
        <v>7</v>
      </c>
      <c r="G2" s="2" t="s">
        <v>55</v>
      </c>
      <c r="H2" s="2">
        <v>2.0</v>
      </c>
      <c r="I2" s="2" t="s">
        <v>9</v>
      </c>
      <c r="J2" s="2" t="s">
        <v>9</v>
      </c>
      <c r="K2" s="2" t="s">
        <v>114</v>
      </c>
    </row>
    <row r="3" hidden="1">
      <c r="A3" s="2" t="s">
        <v>115</v>
      </c>
      <c r="B3" s="2" t="s">
        <v>111</v>
      </c>
      <c r="C3" s="2" t="s">
        <v>116</v>
      </c>
      <c r="D3" s="2" t="s">
        <v>117</v>
      </c>
      <c r="E3" s="2" t="s">
        <v>40</v>
      </c>
      <c r="F3" s="2" t="s">
        <v>7</v>
      </c>
      <c r="G3" s="2" t="s">
        <v>96</v>
      </c>
      <c r="H3" s="2">
        <v>3.0</v>
      </c>
      <c r="I3" s="2" t="s">
        <v>9</v>
      </c>
      <c r="J3" s="2" t="s">
        <v>9</v>
      </c>
      <c r="K3" s="2" t="s">
        <v>118</v>
      </c>
    </row>
    <row r="4" hidden="1">
      <c r="A4" s="2" t="s">
        <v>119</v>
      </c>
      <c r="B4" s="2" t="s">
        <v>111</v>
      </c>
      <c r="C4" s="2" t="s">
        <v>120</v>
      </c>
      <c r="D4" s="2" t="s">
        <v>121</v>
      </c>
      <c r="E4" s="2" t="s">
        <v>40</v>
      </c>
      <c r="F4" s="2" t="s">
        <v>7</v>
      </c>
      <c r="G4" s="2" t="s">
        <v>55</v>
      </c>
      <c r="H4" s="2">
        <v>2.0</v>
      </c>
      <c r="I4" s="2" t="s">
        <v>9</v>
      </c>
      <c r="J4" s="2" t="s">
        <v>122</v>
      </c>
      <c r="K4" s="2" t="s">
        <v>114</v>
      </c>
    </row>
    <row r="5" hidden="1">
      <c r="A5" s="2" t="s">
        <v>123</v>
      </c>
      <c r="B5" s="2" t="s">
        <v>111</v>
      </c>
      <c r="C5" s="2" t="s">
        <v>124</v>
      </c>
      <c r="D5" s="2" t="s">
        <v>125</v>
      </c>
      <c r="E5" s="2" t="s">
        <v>42</v>
      </c>
      <c r="F5" s="2" t="s">
        <v>7</v>
      </c>
      <c r="G5" s="2" t="s">
        <v>55</v>
      </c>
      <c r="H5" s="2">
        <v>2.0</v>
      </c>
      <c r="I5" s="2" t="s">
        <v>9</v>
      </c>
      <c r="J5" s="2" t="s">
        <v>126</v>
      </c>
      <c r="K5" s="2" t="s">
        <v>127</v>
      </c>
    </row>
    <row r="6" hidden="1">
      <c r="A6" s="2" t="s">
        <v>128</v>
      </c>
      <c r="B6" s="2" t="s">
        <v>111</v>
      </c>
      <c r="C6" s="2" t="s">
        <v>129</v>
      </c>
      <c r="D6" s="2" t="s">
        <v>130</v>
      </c>
      <c r="E6" s="2" t="s">
        <v>44</v>
      </c>
      <c r="F6" s="2" t="s">
        <v>7</v>
      </c>
      <c r="G6" s="2" t="s">
        <v>55</v>
      </c>
      <c r="H6" s="2">
        <v>2.0</v>
      </c>
      <c r="I6" s="2" t="s">
        <v>9</v>
      </c>
      <c r="J6" s="2" t="s">
        <v>131</v>
      </c>
      <c r="K6" s="2" t="s">
        <v>127</v>
      </c>
    </row>
    <row r="7">
      <c r="A7" s="2" t="s">
        <v>132</v>
      </c>
      <c r="B7" s="2" t="s">
        <v>111</v>
      </c>
      <c r="C7" s="2" t="s">
        <v>133</v>
      </c>
      <c r="D7" s="2" t="s">
        <v>134</v>
      </c>
      <c r="E7" s="2" t="s">
        <v>46</v>
      </c>
      <c r="F7" s="2" t="s">
        <v>7</v>
      </c>
      <c r="G7" s="2" t="s">
        <v>55</v>
      </c>
      <c r="H7" s="2">
        <v>5.0</v>
      </c>
      <c r="I7" s="2" t="s">
        <v>9</v>
      </c>
      <c r="J7" s="2" t="s">
        <v>10</v>
      </c>
      <c r="K7" s="2" t="s">
        <v>135</v>
      </c>
    </row>
    <row r="8" hidden="1">
      <c r="A8" s="2" t="s">
        <v>136</v>
      </c>
      <c r="B8" s="2" t="s">
        <v>111</v>
      </c>
      <c r="C8" s="2" t="s">
        <v>137</v>
      </c>
      <c r="D8" s="2" t="s">
        <v>138</v>
      </c>
      <c r="E8" s="2" t="s">
        <v>48</v>
      </c>
      <c r="F8" s="2" t="s">
        <v>7</v>
      </c>
      <c r="G8" s="2" t="s">
        <v>55</v>
      </c>
      <c r="H8" s="2">
        <v>3.0</v>
      </c>
      <c r="I8" s="2" t="s">
        <v>9</v>
      </c>
      <c r="J8" s="2" t="s">
        <v>10</v>
      </c>
      <c r="K8" s="2" t="s">
        <v>135</v>
      </c>
    </row>
    <row r="9" hidden="1">
      <c r="A9" s="2" t="s">
        <v>139</v>
      </c>
      <c r="B9" s="2" t="s">
        <v>111</v>
      </c>
      <c r="C9" s="2" t="s">
        <v>140</v>
      </c>
      <c r="D9" s="2" t="s">
        <v>141</v>
      </c>
      <c r="E9" s="2" t="s">
        <v>40</v>
      </c>
      <c r="F9" s="2" t="s">
        <v>7</v>
      </c>
      <c r="G9" s="2" t="s">
        <v>55</v>
      </c>
      <c r="H9" s="2">
        <v>5.0</v>
      </c>
      <c r="I9" s="2" t="s">
        <v>122</v>
      </c>
      <c r="J9" s="2" t="s">
        <v>131</v>
      </c>
      <c r="K9" s="2" t="s">
        <v>114</v>
      </c>
    </row>
    <row r="10" ht="44.25" hidden="1" customHeight="1">
      <c r="A10" s="2" t="s">
        <v>142</v>
      </c>
      <c r="B10" s="2" t="s">
        <v>111</v>
      </c>
      <c r="C10" s="2" t="s">
        <v>143</v>
      </c>
      <c r="D10" s="2" t="s">
        <v>143</v>
      </c>
      <c r="E10" s="2" t="s">
        <v>48</v>
      </c>
      <c r="F10" s="2" t="s">
        <v>7</v>
      </c>
      <c r="G10" s="2" t="s">
        <v>96</v>
      </c>
      <c r="H10" s="2">
        <v>2.0</v>
      </c>
      <c r="I10" s="2" t="s">
        <v>126</v>
      </c>
      <c r="J10" s="2" t="s">
        <v>131</v>
      </c>
      <c r="K10" s="2" t="s">
        <v>118</v>
      </c>
    </row>
    <row r="11" ht="121.5" hidden="1" customHeight="1">
      <c r="A11" s="2" t="s">
        <v>144</v>
      </c>
      <c r="B11" s="2" t="s">
        <v>111</v>
      </c>
      <c r="C11" s="2" t="s">
        <v>145</v>
      </c>
      <c r="D11" s="2" t="s">
        <v>146</v>
      </c>
      <c r="E11" s="2" t="s">
        <v>42</v>
      </c>
      <c r="F11" s="2" t="s">
        <v>7</v>
      </c>
      <c r="G11" s="2" t="s">
        <v>55</v>
      </c>
      <c r="H11" s="2">
        <v>3.0</v>
      </c>
      <c r="I11" s="2" t="s">
        <v>126</v>
      </c>
      <c r="J11" s="2" t="s">
        <v>10</v>
      </c>
      <c r="K11" s="2" t="s">
        <v>127</v>
      </c>
    </row>
    <row r="12" hidden="1">
      <c r="A12" s="2" t="s">
        <v>147</v>
      </c>
      <c r="B12" s="2" t="s">
        <v>111</v>
      </c>
      <c r="C12" s="2" t="s">
        <v>148</v>
      </c>
      <c r="D12" s="2" t="s">
        <v>149</v>
      </c>
      <c r="E12" s="2" t="s">
        <v>40</v>
      </c>
      <c r="F12" s="2" t="s">
        <v>7</v>
      </c>
      <c r="G12" s="2" t="s">
        <v>55</v>
      </c>
      <c r="H12" s="2">
        <v>3.0</v>
      </c>
      <c r="I12" s="2" t="s">
        <v>131</v>
      </c>
      <c r="J12" s="2" t="s">
        <v>150</v>
      </c>
      <c r="K12" s="2" t="s">
        <v>114</v>
      </c>
    </row>
    <row r="13" hidden="1">
      <c r="A13" s="2" t="s">
        <v>151</v>
      </c>
      <c r="B13" s="2" t="s">
        <v>111</v>
      </c>
      <c r="C13" s="2" t="s">
        <v>152</v>
      </c>
      <c r="D13" s="2" t="s">
        <v>153</v>
      </c>
      <c r="E13" s="2" t="s">
        <v>44</v>
      </c>
      <c r="F13" s="2" t="s">
        <v>7</v>
      </c>
      <c r="G13" s="2" t="s">
        <v>55</v>
      </c>
      <c r="H13" s="2">
        <v>2.0</v>
      </c>
      <c r="I13" s="2" t="s">
        <v>131</v>
      </c>
      <c r="J13" s="2" t="s">
        <v>10</v>
      </c>
      <c r="K13" s="2" t="s">
        <v>127</v>
      </c>
    </row>
    <row r="14" hidden="1">
      <c r="A14" s="2" t="s">
        <v>154</v>
      </c>
      <c r="B14" s="2" t="s">
        <v>111</v>
      </c>
      <c r="C14" s="2" t="s">
        <v>155</v>
      </c>
      <c r="D14" s="2" t="s">
        <v>156</v>
      </c>
      <c r="E14" s="2" t="s">
        <v>40</v>
      </c>
      <c r="F14" s="2" t="s">
        <v>7</v>
      </c>
      <c r="G14" s="2" t="s">
        <v>55</v>
      </c>
      <c r="H14" s="2">
        <v>5.0</v>
      </c>
      <c r="I14" s="2" t="s">
        <v>150</v>
      </c>
      <c r="J14" s="2" t="s">
        <v>157</v>
      </c>
      <c r="K14" s="2" t="s">
        <v>114</v>
      </c>
    </row>
    <row r="15" hidden="1">
      <c r="A15" s="2" t="s">
        <v>158</v>
      </c>
      <c r="B15" s="2" t="s">
        <v>111</v>
      </c>
      <c r="C15" s="2" t="s">
        <v>159</v>
      </c>
      <c r="D15" s="2" t="s">
        <v>117</v>
      </c>
      <c r="E15" s="2" t="s">
        <v>40</v>
      </c>
      <c r="F15" s="2" t="s">
        <v>7</v>
      </c>
      <c r="G15" s="2" t="s">
        <v>96</v>
      </c>
      <c r="H15" s="2">
        <v>3.0</v>
      </c>
      <c r="I15" s="2" t="s">
        <v>150</v>
      </c>
      <c r="J15" s="2" t="s">
        <v>10</v>
      </c>
      <c r="K15" s="2" t="s">
        <v>118</v>
      </c>
    </row>
    <row r="16" hidden="1">
      <c r="A16" s="2" t="s">
        <v>160</v>
      </c>
      <c r="B16" s="2" t="s">
        <v>111</v>
      </c>
      <c r="C16" s="2" t="s">
        <v>161</v>
      </c>
      <c r="D16" s="2" t="s">
        <v>162</v>
      </c>
      <c r="E16" s="2" t="s">
        <v>40</v>
      </c>
      <c r="F16" s="2" t="s">
        <v>7</v>
      </c>
      <c r="G16" s="2" t="s">
        <v>55</v>
      </c>
      <c r="H16" s="2">
        <v>3.0</v>
      </c>
      <c r="I16" s="2" t="s">
        <v>157</v>
      </c>
      <c r="J16" s="2" t="s">
        <v>10</v>
      </c>
      <c r="K16" s="2" t="s">
        <v>163</v>
      </c>
    </row>
    <row r="17" hidden="1">
      <c r="A17" s="2" t="s">
        <v>164</v>
      </c>
      <c r="B17" s="2" t="s">
        <v>111</v>
      </c>
      <c r="C17" s="2" t="s">
        <v>165</v>
      </c>
      <c r="D17" s="2" t="s">
        <v>166</v>
      </c>
      <c r="E17" s="2" t="s">
        <v>42</v>
      </c>
      <c r="F17" s="2" t="s">
        <v>12</v>
      </c>
      <c r="G17" s="2" t="s">
        <v>59</v>
      </c>
      <c r="H17" s="2">
        <v>3.0</v>
      </c>
      <c r="I17" s="2" t="s">
        <v>14</v>
      </c>
      <c r="J17" s="2" t="s">
        <v>14</v>
      </c>
      <c r="K17" s="2" t="s">
        <v>167</v>
      </c>
    </row>
    <row r="18" hidden="1">
      <c r="A18" s="2" t="s">
        <v>168</v>
      </c>
      <c r="B18" s="2" t="s">
        <v>111</v>
      </c>
      <c r="C18" s="2" t="s">
        <v>169</v>
      </c>
      <c r="D18" s="2" t="s">
        <v>170</v>
      </c>
      <c r="E18" s="2" t="s">
        <v>48</v>
      </c>
      <c r="F18" s="2" t="s">
        <v>12</v>
      </c>
      <c r="G18" s="2" t="s">
        <v>59</v>
      </c>
      <c r="H18" s="2">
        <v>2.0</v>
      </c>
      <c r="I18" s="2" t="s">
        <v>14</v>
      </c>
      <c r="J18" s="2" t="s">
        <v>14</v>
      </c>
      <c r="K18" s="2" t="s">
        <v>171</v>
      </c>
    </row>
    <row r="19" hidden="1">
      <c r="A19" s="2" t="s">
        <v>172</v>
      </c>
      <c r="B19" s="2" t="s">
        <v>111</v>
      </c>
      <c r="C19" s="2" t="s">
        <v>173</v>
      </c>
      <c r="D19" s="2" t="s">
        <v>174</v>
      </c>
      <c r="E19" s="2" t="s">
        <v>44</v>
      </c>
      <c r="F19" s="2" t="s">
        <v>12</v>
      </c>
      <c r="G19" s="2" t="s">
        <v>67</v>
      </c>
      <c r="H19" s="2">
        <v>3.0</v>
      </c>
      <c r="I19" s="2" t="s">
        <v>14</v>
      </c>
      <c r="J19" s="2" t="s">
        <v>14</v>
      </c>
      <c r="K19" s="2" t="s">
        <v>167</v>
      </c>
    </row>
    <row r="20" hidden="1">
      <c r="A20" s="2" t="s">
        <v>175</v>
      </c>
      <c r="B20" s="2" t="s">
        <v>111</v>
      </c>
      <c r="C20" s="2" t="s">
        <v>176</v>
      </c>
      <c r="D20" s="2" t="s">
        <v>177</v>
      </c>
      <c r="E20" s="2" t="s">
        <v>40</v>
      </c>
      <c r="F20" s="2" t="s">
        <v>12</v>
      </c>
      <c r="G20" s="2" t="s">
        <v>93</v>
      </c>
      <c r="H20" s="2">
        <v>2.0</v>
      </c>
      <c r="I20" s="2" t="s">
        <v>14</v>
      </c>
      <c r="J20" s="2" t="s">
        <v>14</v>
      </c>
      <c r="K20" s="2" t="s">
        <v>163</v>
      </c>
    </row>
    <row r="21" ht="15.75" hidden="1" customHeight="1">
      <c r="A21" s="2" t="s">
        <v>178</v>
      </c>
      <c r="B21" s="2" t="s">
        <v>111</v>
      </c>
      <c r="C21" s="2" t="s">
        <v>179</v>
      </c>
      <c r="D21" s="2" t="s">
        <v>180</v>
      </c>
      <c r="E21" s="2" t="s">
        <v>42</v>
      </c>
      <c r="F21" s="2" t="s">
        <v>12</v>
      </c>
      <c r="G21" s="2" t="s">
        <v>59</v>
      </c>
      <c r="H21" s="2">
        <v>3.0</v>
      </c>
      <c r="I21" s="2" t="s">
        <v>14</v>
      </c>
      <c r="J21" s="2" t="s">
        <v>181</v>
      </c>
      <c r="K21" s="2" t="s">
        <v>167</v>
      </c>
    </row>
    <row r="22" ht="15.75" hidden="1" customHeight="1">
      <c r="A22" s="2" t="s">
        <v>182</v>
      </c>
      <c r="B22" s="2" t="s">
        <v>111</v>
      </c>
      <c r="C22" s="2" t="s">
        <v>183</v>
      </c>
      <c r="D22" s="2" t="s">
        <v>184</v>
      </c>
      <c r="E22" s="2" t="s">
        <v>48</v>
      </c>
      <c r="F22" s="2" t="s">
        <v>12</v>
      </c>
      <c r="G22" s="2" t="s">
        <v>59</v>
      </c>
      <c r="H22" s="2">
        <v>2.0</v>
      </c>
      <c r="I22" s="2" t="s">
        <v>14</v>
      </c>
      <c r="J22" s="2" t="s">
        <v>181</v>
      </c>
      <c r="K22" s="2" t="s">
        <v>171</v>
      </c>
    </row>
    <row r="23" ht="15.75" hidden="1" customHeight="1">
      <c r="A23" s="2" t="s">
        <v>185</v>
      </c>
      <c r="B23" s="2" t="s">
        <v>111</v>
      </c>
      <c r="C23" s="2" t="s">
        <v>186</v>
      </c>
      <c r="D23" s="2" t="s">
        <v>187</v>
      </c>
      <c r="E23" s="2" t="s">
        <v>44</v>
      </c>
      <c r="F23" s="2" t="s">
        <v>12</v>
      </c>
      <c r="G23" s="2" t="s">
        <v>67</v>
      </c>
      <c r="H23" s="2">
        <v>2.0</v>
      </c>
      <c r="I23" s="2" t="s">
        <v>14</v>
      </c>
      <c r="J23" s="2" t="s">
        <v>181</v>
      </c>
      <c r="K23" s="2" t="s">
        <v>167</v>
      </c>
    </row>
    <row r="24" ht="15.75" customHeight="1">
      <c r="A24" s="2" t="s">
        <v>188</v>
      </c>
      <c r="B24" s="2" t="s">
        <v>111</v>
      </c>
      <c r="C24" s="2" t="s">
        <v>189</v>
      </c>
      <c r="D24" s="2" t="s">
        <v>190</v>
      </c>
      <c r="E24" s="2" t="s">
        <v>46</v>
      </c>
      <c r="F24" s="2" t="s">
        <v>12</v>
      </c>
      <c r="G24" s="2" t="s">
        <v>82</v>
      </c>
      <c r="H24" s="2">
        <v>3.0</v>
      </c>
      <c r="I24" s="2" t="s">
        <v>14</v>
      </c>
      <c r="J24" s="2" t="s">
        <v>181</v>
      </c>
      <c r="K24" s="2" t="s">
        <v>171</v>
      </c>
    </row>
    <row r="25" ht="15.75" hidden="1" customHeight="1">
      <c r="A25" s="2" t="s">
        <v>191</v>
      </c>
      <c r="B25" s="2" t="s">
        <v>111</v>
      </c>
      <c r="C25" s="2" t="s">
        <v>192</v>
      </c>
      <c r="D25" s="2" t="s">
        <v>193</v>
      </c>
      <c r="E25" s="2" t="s">
        <v>40</v>
      </c>
      <c r="F25" s="2" t="s">
        <v>12</v>
      </c>
      <c r="G25" s="2" t="s">
        <v>93</v>
      </c>
      <c r="H25" s="2">
        <v>2.0</v>
      </c>
      <c r="I25" s="2" t="s">
        <v>14</v>
      </c>
      <c r="J25" s="2" t="s">
        <v>181</v>
      </c>
      <c r="K25" s="2" t="s">
        <v>163</v>
      </c>
    </row>
    <row r="26" ht="15.75" hidden="1" customHeight="1">
      <c r="A26" s="2" t="s">
        <v>194</v>
      </c>
      <c r="B26" s="2" t="s">
        <v>111</v>
      </c>
      <c r="C26" s="2" t="s">
        <v>195</v>
      </c>
      <c r="D26" s="2" t="s">
        <v>196</v>
      </c>
      <c r="E26" s="2" t="s">
        <v>44</v>
      </c>
      <c r="F26" s="2" t="s">
        <v>12</v>
      </c>
      <c r="G26" s="2" t="s">
        <v>59</v>
      </c>
      <c r="H26" s="2">
        <v>2.0</v>
      </c>
      <c r="I26" s="2" t="s">
        <v>181</v>
      </c>
      <c r="J26" s="2" t="s">
        <v>181</v>
      </c>
      <c r="K26" s="2" t="s">
        <v>167</v>
      </c>
    </row>
    <row r="27" ht="15.75" hidden="1" customHeight="1">
      <c r="A27" s="2" t="s">
        <v>197</v>
      </c>
      <c r="B27" s="2" t="s">
        <v>111</v>
      </c>
      <c r="C27" s="2" t="s">
        <v>198</v>
      </c>
      <c r="D27" s="2" t="s">
        <v>199</v>
      </c>
      <c r="E27" s="2" t="s">
        <v>42</v>
      </c>
      <c r="F27" s="2" t="s">
        <v>12</v>
      </c>
      <c r="G27" s="2" t="s">
        <v>82</v>
      </c>
      <c r="H27" s="2">
        <v>3.0</v>
      </c>
      <c r="I27" s="2" t="s">
        <v>181</v>
      </c>
      <c r="J27" s="2" t="s">
        <v>181</v>
      </c>
      <c r="K27" s="2" t="s">
        <v>167</v>
      </c>
    </row>
    <row r="28" ht="15.75" hidden="1" customHeight="1">
      <c r="A28" s="2" t="s">
        <v>200</v>
      </c>
      <c r="B28" s="2" t="s">
        <v>111</v>
      </c>
      <c r="C28" s="2" t="s">
        <v>201</v>
      </c>
      <c r="D28" s="2" t="s">
        <v>202</v>
      </c>
      <c r="E28" s="2" t="s">
        <v>44</v>
      </c>
      <c r="F28" s="2" t="s">
        <v>12</v>
      </c>
      <c r="G28" s="2" t="s">
        <v>59</v>
      </c>
      <c r="H28" s="2">
        <v>1.0</v>
      </c>
      <c r="I28" s="2" t="s">
        <v>181</v>
      </c>
      <c r="J28" s="2" t="s">
        <v>203</v>
      </c>
      <c r="K28" s="2" t="s">
        <v>167</v>
      </c>
    </row>
    <row r="29" ht="15.75" hidden="1" customHeight="1">
      <c r="A29" s="2" t="s">
        <v>204</v>
      </c>
      <c r="B29" s="2" t="s">
        <v>111</v>
      </c>
      <c r="C29" s="2" t="s">
        <v>205</v>
      </c>
      <c r="D29" s="2" t="s">
        <v>206</v>
      </c>
      <c r="E29" s="2" t="s">
        <v>48</v>
      </c>
      <c r="F29" s="2" t="s">
        <v>12</v>
      </c>
      <c r="G29" s="2" t="s">
        <v>67</v>
      </c>
      <c r="H29" s="2">
        <v>3.0</v>
      </c>
      <c r="I29" s="2" t="s">
        <v>181</v>
      </c>
      <c r="J29" s="2" t="s">
        <v>203</v>
      </c>
      <c r="K29" s="2" t="s">
        <v>171</v>
      </c>
    </row>
    <row r="30" ht="15.75" hidden="1" customHeight="1">
      <c r="A30" s="2" t="s">
        <v>207</v>
      </c>
      <c r="B30" s="2" t="s">
        <v>111</v>
      </c>
      <c r="C30" s="2" t="s">
        <v>208</v>
      </c>
      <c r="D30" s="2" t="s">
        <v>209</v>
      </c>
      <c r="E30" s="2" t="s">
        <v>42</v>
      </c>
      <c r="F30" s="2" t="s">
        <v>12</v>
      </c>
      <c r="G30" s="2" t="s">
        <v>82</v>
      </c>
      <c r="H30" s="2">
        <v>3.0</v>
      </c>
      <c r="I30" s="2" t="s">
        <v>181</v>
      </c>
      <c r="J30" s="2" t="s">
        <v>203</v>
      </c>
      <c r="K30" s="2" t="s">
        <v>167</v>
      </c>
    </row>
    <row r="31" ht="15.75" customHeight="1">
      <c r="A31" s="2" t="s">
        <v>210</v>
      </c>
      <c r="B31" s="2" t="s">
        <v>111</v>
      </c>
      <c r="C31" s="2" t="s">
        <v>211</v>
      </c>
      <c r="D31" s="2" t="s">
        <v>212</v>
      </c>
      <c r="E31" s="2" t="s">
        <v>46</v>
      </c>
      <c r="F31" s="2" t="s">
        <v>12</v>
      </c>
      <c r="G31" s="2" t="s">
        <v>82</v>
      </c>
      <c r="H31" s="2">
        <v>3.0</v>
      </c>
      <c r="I31" s="2" t="s">
        <v>181</v>
      </c>
      <c r="J31" s="2" t="s">
        <v>203</v>
      </c>
      <c r="K31" s="2" t="s">
        <v>171</v>
      </c>
    </row>
    <row r="32" ht="15.75" hidden="1" customHeight="1">
      <c r="A32" s="2" t="s">
        <v>213</v>
      </c>
      <c r="B32" s="2" t="s">
        <v>111</v>
      </c>
      <c r="C32" s="2" t="s">
        <v>214</v>
      </c>
      <c r="D32" s="2" t="s">
        <v>215</v>
      </c>
      <c r="E32" s="2" t="s">
        <v>40</v>
      </c>
      <c r="F32" s="2" t="s">
        <v>12</v>
      </c>
      <c r="G32" s="2" t="s">
        <v>93</v>
      </c>
      <c r="H32" s="2">
        <v>3.0</v>
      </c>
      <c r="I32" s="2" t="s">
        <v>181</v>
      </c>
      <c r="J32" s="2" t="s">
        <v>203</v>
      </c>
      <c r="K32" s="2" t="s">
        <v>163</v>
      </c>
    </row>
    <row r="33" ht="15.75" hidden="1" customHeight="1">
      <c r="A33" s="2" t="s">
        <v>216</v>
      </c>
      <c r="B33" s="2" t="s">
        <v>111</v>
      </c>
      <c r="C33" s="2" t="s">
        <v>217</v>
      </c>
      <c r="D33" s="2" t="s">
        <v>117</v>
      </c>
      <c r="E33" s="2" t="s">
        <v>40</v>
      </c>
      <c r="F33" s="2" t="s">
        <v>12</v>
      </c>
      <c r="G33" s="2" t="s">
        <v>96</v>
      </c>
      <c r="H33" s="2">
        <v>2.0</v>
      </c>
      <c r="I33" s="2" t="s">
        <v>181</v>
      </c>
      <c r="J33" s="2" t="s">
        <v>203</v>
      </c>
      <c r="K33" s="2" t="s">
        <v>118</v>
      </c>
    </row>
    <row r="34" ht="15.75" hidden="1" customHeight="1">
      <c r="A34" s="2" t="s">
        <v>218</v>
      </c>
      <c r="B34" s="2" t="s">
        <v>111</v>
      </c>
      <c r="C34" s="2" t="s">
        <v>219</v>
      </c>
      <c r="D34" s="2" t="s">
        <v>220</v>
      </c>
      <c r="E34" s="2" t="s">
        <v>48</v>
      </c>
      <c r="F34" s="2" t="s">
        <v>12</v>
      </c>
      <c r="G34" s="2" t="s">
        <v>67</v>
      </c>
      <c r="H34" s="2">
        <v>2.0</v>
      </c>
      <c r="I34" s="2" t="s">
        <v>203</v>
      </c>
      <c r="J34" s="2" t="s">
        <v>203</v>
      </c>
      <c r="K34" s="2" t="s">
        <v>171</v>
      </c>
    </row>
    <row r="35" ht="15.75" hidden="1" customHeight="1">
      <c r="A35" s="2" t="s">
        <v>221</v>
      </c>
      <c r="B35" s="2" t="s">
        <v>111</v>
      </c>
      <c r="C35" s="2" t="s">
        <v>222</v>
      </c>
      <c r="D35" s="2" t="s">
        <v>223</v>
      </c>
      <c r="E35" s="2" t="s">
        <v>44</v>
      </c>
      <c r="F35" s="2" t="s">
        <v>12</v>
      </c>
      <c r="G35" s="2" t="s">
        <v>82</v>
      </c>
      <c r="H35" s="2">
        <v>2.0</v>
      </c>
      <c r="I35" s="2" t="s">
        <v>203</v>
      </c>
      <c r="J35" s="2" t="s">
        <v>203</v>
      </c>
      <c r="K35" s="2" t="s">
        <v>167</v>
      </c>
    </row>
    <row r="36" ht="15.75" customHeight="1">
      <c r="A36" s="2" t="s">
        <v>224</v>
      </c>
      <c r="B36" s="2" t="s">
        <v>111</v>
      </c>
      <c r="C36" s="2" t="s">
        <v>225</v>
      </c>
      <c r="D36" s="2" t="s">
        <v>226</v>
      </c>
      <c r="E36" s="2" t="s">
        <v>46</v>
      </c>
      <c r="F36" s="2" t="s">
        <v>12</v>
      </c>
      <c r="G36" s="2" t="s">
        <v>82</v>
      </c>
      <c r="H36" s="2">
        <v>2.0</v>
      </c>
      <c r="I36" s="2" t="s">
        <v>203</v>
      </c>
      <c r="J36" s="2" t="s">
        <v>203</v>
      </c>
      <c r="K36" s="2" t="s">
        <v>171</v>
      </c>
    </row>
    <row r="37" ht="15.75" hidden="1" customHeight="1">
      <c r="A37" s="2" t="s">
        <v>227</v>
      </c>
      <c r="B37" s="2" t="s">
        <v>111</v>
      </c>
      <c r="C37" s="2" t="s">
        <v>228</v>
      </c>
      <c r="D37" s="2" t="s">
        <v>229</v>
      </c>
      <c r="E37" s="2" t="s">
        <v>44</v>
      </c>
      <c r="F37" s="2" t="s">
        <v>12</v>
      </c>
      <c r="G37" s="2" t="s">
        <v>82</v>
      </c>
      <c r="H37" s="2">
        <v>1.0</v>
      </c>
      <c r="I37" s="2" t="s">
        <v>203</v>
      </c>
      <c r="J37" s="2" t="s">
        <v>203</v>
      </c>
      <c r="K37" s="2" t="s">
        <v>167</v>
      </c>
    </row>
    <row r="38" ht="15.75" hidden="1" customHeight="1">
      <c r="A38" s="2" t="s">
        <v>230</v>
      </c>
      <c r="B38" s="2" t="s">
        <v>111</v>
      </c>
      <c r="C38" s="2" t="s">
        <v>231</v>
      </c>
      <c r="D38" s="2" t="s">
        <v>232</v>
      </c>
      <c r="E38" s="2" t="s">
        <v>48</v>
      </c>
      <c r="F38" s="2" t="s">
        <v>12</v>
      </c>
      <c r="G38" s="2" t="s">
        <v>59</v>
      </c>
      <c r="H38" s="2">
        <v>2.0</v>
      </c>
      <c r="I38" s="2" t="s">
        <v>203</v>
      </c>
      <c r="J38" s="2" t="s">
        <v>233</v>
      </c>
      <c r="K38" s="2" t="s">
        <v>171</v>
      </c>
    </row>
    <row r="39" ht="15.75" hidden="1" customHeight="1">
      <c r="A39" s="2" t="s">
        <v>234</v>
      </c>
      <c r="B39" s="2" t="s">
        <v>111</v>
      </c>
      <c r="C39" s="2" t="s">
        <v>235</v>
      </c>
      <c r="D39" s="2" t="s">
        <v>236</v>
      </c>
      <c r="E39" s="2" t="s">
        <v>40</v>
      </c>
      <c r="F39" s="2" t="s">
        <v>12</v>
      </c>
      <c r="G39" s="2" t="s">
        <v>67</v>
      </c>
      <c r="H39" s="2">
        <v>3.0</v>
      </c>
      <c r="I39" s="2" t="s">
        <v>203</v>
      </c>
      <c r="J39" s="2" t="s">
        <v>233</v>
      </c>
      <c r="K39" s="2" t="s">
        <v>167</v>
      </c>
    </row>
    <row r="40" ht="15.75" hidden="1" customHeight="1">
      <c r="A40" s="2" t="s">
        <v>237</v>
      </c>
      <c r="B40" s="2" t="s">
        <v>111</v>
      </c>
      <c r="C40" s="2" t="s">
        <v>238</v>
      </c>
      <c r="D40" s="2" t="s">
        <v>239</v>
      </c>
      <c r="E40" s="2" t="s">
        <v>44</v>
      </c>
      <c r="F40" s="2" t="s">
        <v>12</v>
      </c>
      <c r="G40" s="2" t="s">
        <v>82</v>
      </c>
      <c r="H40" s="2">
        <v>1.0</v>
      </c>
      <c r="I40" s="2" t="s">
        <v>203</v>
      </c>
      <c r="J40" s="2" t="s">
        <v>233</v>
      </c>
      <c r="K40" s="2" t="s">
        <v>167</v>
      </c>
    </row>
    <row r="41" ht="15.75" hidden="1" customHeight="1">
      <c r="A41" s="2" t="s">
        <v>240</v>
      </c>
      <c r="B41" s="2" t="s">
        <v>111</v>
      </c>
      <c r="C41" s="2" t="s">
        <v>241</v>
      </c>
      <c r="D41" s="2" t="s">
        <v>242</v>
      </c>
      <c r="E41" s="2" t="s">
        <v>42</v>
      </c>
      <c r="F41" s="2" t="s">
        <v>12</v>
      </c>
      <c r="G41" s="2" t="s">
        <v>82</v>
      </c>
      <c r="H41" s="2">
        <v>5.0</v>
      </c>
      <c r="I41" s="2" t="s">
        <v>203</v>
      </c>
      <c r="J41" s="2" t="s">
        <v>233</v>
      </c>
      <c r="K41" s="2" t="s">
        <v>167</v>
      </c>
    </row>
    <row r="42" ht="15.75" hidden="1" customHeight="1">
      <c r="A42" s="2" t="s">
        <v>243</v>
      </c>
      <c r="B42" s="2" t="s">
        <v>111</v>
      </c>
      <c r="C42" s="2" t="s">
        <v>244</v>
      </c>
      <c r="D42" s="2" t="s">
        <v>245</v>
      </c>
      <c r="E42" s="2" t="s">
        <v>48</v>
      </c>
      <c r="F42" s="2" t="s">
        <v>12</v>
      </c>
      <c r="G42" s="2" t="s">
        <v>59</v>
      </c>
      <c r="H42" s="2">
        <v>1.0</v>
      </c>
      <c r="I42" s="2" t="s">
        <v>233</v>
      </c>
      <c r="J42" s="2" t="s">
        <v>233</v>
      </c>
      <c r="K42" s="2" t="s">
        <v>171</v>
      </c>
    </row>
    <row r="43" ht="15.75" customHeight="1">
      <c r="A43" s="2" t="s">
        <v>246</v>
      </c>
      <c r="B43" s="2" t="s">
        <v>111</v>
      </c>
      <c r="C43" s="2" t="s">
        <v>247</v>
      </c>
      <c r="D43" s="2" t="s">
        <v>248</v>
      </c>
      <c r="E43" s="2" t="s">
        <v>46</v>
      </c>
      <c r="F43" s="2" t="s">
        <v>12</v>
      </c>
      <c r="G43" s="2" t="s">
        <v>82</v>
      </c>
      <c r="H43" s="2">
        <v>1.0</v>
      </c>
      <c r="I43" s="2" t="s">
        <v>233</v>
      </c>
      <c r="J43" s="2" t="s">
        <v>233</v>
      </c>
      <c r="K43" s="2" t="s">
        <v>171</v>
      </c>
    </row>
    <row r="44" ht="15.75" hidden="1" customHeight="1">
      <c r="A44" s="2" t="s">
        <v>249</v>
      </c>
      <c r="B44" s="2" t="s">
        <v>111</v>
      </c>
      <c r="C44" s="2" t="s">
        <v>250</v>
      </c>
      <c r="D44" s="2" t="s">
        <v>251</v>
      </c>
      <c r="E44" s="2" t="s">
        <v>44</v>
      </c>
      <c r="F44" s="2" t="s">
        <v>12</v>
      </c>
      <c r="G44" s="2" t="s">
        <v>82</v>
      </c>
      <c r="H44" s="2">
        <v>2.0</v>
      </c>
      <c r="I44" s="2" t="s">
        <v>233</v>
      </c>
      <c r="J44" s="2" t="s">
        <v>233</v>
      </c>
      <c r="K44" s="2" t="s">
        <v>167</v>
      </c>
    </row>
    <row r="45" ht="15.75" hidden="1" customHeight="1">
      <c r="A45" s="2" t="s">
        <v>252</v>
      </c>
      <c r="B45" s="2" t="s">
        <v>111</v>
      </c>
      <c r="C45" s="2" t="s">
        <v>253</v>
      </c>
      <c r="D45" s="2" t="s">
        <v>254</v>
      </c>
      <c r="E45" s="2" t="s">
        <v>42</v>
      </c>
      <c r="F45" s="2" t="s">
        <v>12</v>
      </c>
      <c r="G45" s="2" t="s">
        <v>59</v>
      </c>
      <c r="H45" s="2">
        <v>2.0</v>
      </c>
      <c r="I45" s="2" t="s">
        <v>233</v>
      </c>
      <c r="J45" s="2" t="s">
        <v>255</v>
      </c>
      <c r="K45" s="2" t="s">
        <v>167</v>
      </c>
    </row>
    <row r="46" ht="15.75" hidden="1" customHeight="1">
      <c r="A46" s="2" t="s">
        <v>256</v>
      </c>
      <c r="B46" s="2" t="s">
        <v>111</v>
      </c>
      <c r="C46" s="2" t="s">
        <v>257</v>
      </c>
      <c r="D46" s="2" t="s">
        <v>258</v>
      </c>
      <c r="E46" s="2" t="s">
        <v>48</v>
      </c>
      <c r="F46" s="2" t="s">
        <v>12</v>
      </c>
      <c r="G46" s="2" t="s">
        <v>59</v>
      </c>
      <c r="H46" s="2">
        <v>1.0</v>
      </c>
      <c r="I46" s="2" t="s">
        <v>233</v>
      </c>
      <c r="J46" s="2" t="s">
        <v>255</v>
      </c>
      <c r="K46" s="2" t="s">
        <v>171</v>
      </c>
    </row>
    <row r="47" ht="15.75" hidden="1" customHeight="1">
      <c r="A47" s="2" t="s">
        <v>259</v>
      </c>
      <c r="B47" s="2" t="s">
        <v>111</v>
      </c>
      <c r="C47" s="2" t="s">
        <v>260</v>
      </c>
      <c r="D47" s="2" t="s">
        <v>261</v>
      </c>
      <c r="E47" s="2" t="s">
        <v>44</v>
      </c>
      <c r="F47" s="2" t="s">
        <v>12</v>
      </c>
      <c r="G47" s="2" t="s">
        <v>67</v>
      </c>
      <c r="H47" s="2">
        <v>2.0</v>
      </c>
      <c r="I47" s="2" t="s">
        <v>233</v>
      </c>
      <c r="J47" s="2" t="s">
        <v>255</v>
      </c>
      <c r="K47" s="2" t="s">
        <v>167</v>
      </c>
    </row>
    <row r="48" ht="15.75" customHeight="1">
      <c r="A48" s="2" t="s">
        <v>262</v>
      </c>
      <c r="B48" s="2" t="s">
        <v>111</v>
      </c>
      <c r="C48" s="2" t="s">
        <v>263</v>
      </c>
      <c r="D48" s="2" t="s">
        <v>264</v>
      </c>
      <c r="E48" s="2" t="s">
        <v>46</v>
      </c>
      <c r="F48" s="2" t="s">
        <v>12</v>
      </c>
      <c r="G48" s="2" t="s">
        <v>82</v>
      </c>
      <c r="H48" s="2">
        <v>3.0</v>
      </c>
      <c r="I48" s="2" t="s">
        <v>233</v>
      </c>
      <c r="J48" s="2" t="s">
        <v>255</v>
      </c>
      <c r="K48" s="2" t="s">
        <v>171</v>
      </c>
    </row>
    <row r="49" ht="15.75" hidden="1" customHeight="1">
      <c r="A49" s="2" t="s">
        <v>265</v>
      </c>
      <c r="B49" s="2" t="s">
        <v>111</v>
      </c>
      <c r="C49" s="2" t="s">
        <v>266</v>
      </c>
      <c r="D49" s="2" t="s">
        <v>267</v>
      </c>
      <c r="E49" s="2" t="s">
        <v>40</v>
      </c>
      <c r="F49" s="2" t="s">
        <v>12</v>
      </c>
      <c r="G49" s="2" t="s">
        <v>93</v>
      </c>
      <c r="H49" s="2">
        <v>3.0</v>
      </c>
      <c r="I49" s="2" t="s">
        <v>233</v>
      </c>
      <c r="J49" s="2" t="s">
        <v>255</v>
      </c>
      <c r="K49" s="2" t="s">
        <v>163</v>
      </c>
    </row>
    <row r="50" ht="15.75" hidden="1" customHeight="1">
      <c r="A50" s="2" t="s">
        <v>268</v>
      </c>
      <c r="B50" s="2" t="s">
        <v>111</v>
      </c>
      <c r="C50" s="2" t="s">
        <v>269</v>
      </c>
      <c r="D50" s="2" t="s">
        <v>270</v>
      </c>
      <c r="E50" s="2" t="s">
        <v>42</v>
      </c>
      <c r="F50" s="2" t="s">
        <v>12</v>
      </c>
      <c r="G50" s="2" t="s">
        <v>59</v>
      </c>
      <c r="H50" s="2">
        <v>3.0</v>
      </c>
      <c r="I50" s="2" t="s">
        <v>255</v>
      </c>
      <c r="J50" s="2" t="s">
        <v>255</v>
      </c>
      <c r="K50" s="2" t="s">
        <v>167</v>
      </c>
    </row>
    <row r="51" ht="15.75" hidden="1" customHeight="1">
      <c r="A51" s="2" t="s">
        <v>271</v>
      </c>
      <c r="B51" s="2" t="s">
        <v>111</v>
      </c>
      <c r="C51" s="2" t="s">
        <v>272</v>
      </c>
      <c r="D51" s="2" t="s">
        <v>273</v>
      </c>
      <c r="E51" s="2" t="s">
        <v>48</v>
      </c>
      <c r="F51" s="2" t="s">
        <v>12</v>
      </c>
      <c r="G51" s="2" t="s">
        <v>67</v>
      </c>
      <c r="H51" s="2">
        <v>2.0</v>
      </c>
      <c r="I51" s="2" t="s">
        <v>255</v>
      </c>
      <c r="J51" s="2" t="s">
        <v>255</v>
      </c>
      <c r="K51" s="2" t="s">
        <v>171</v>
      </c>
    </row>
    <row r="52" ht="15.75" hidden="1" customHeight="1">
      <c r="A52" s="2" t="s">
        <v>274</v>
      </c>
      <c r="B52" s="2" t="s">
        <v>111</v>
      </c>
      <c r="C52" s="2" t="s">
        <v>275</v>
      </c>
      <c r="D52" s="2" t="s">
        <v>276</v>
      </c>
      <c r="E52" s="2" t="s">
        <v>44</v>
      </c>
      <c r="F52" s="2" t="s">
        <v>12</v>
      </c>
      <c r="G52" s="2" t="s">
        <v>67</v>
      </c>
      <c r="H52" s="2">
        <v>1.0</v>
      </c>
      <c r="I52" s="2" t="s">
        <v>255</v>
      </c>
      <c r="J52" s="2" t="s">
        <v>255</v>
      </c>
      <c r="K52" s="2" t="s">
        <v>167</v>
      </c>
    </row>
    <row r="53" ht="15.75" customHeight="1">
      <c r="A53" s="2" t="s">
        <v>277</v>
      </c>
      <c r="B53" s="2" t="s">
        <v>111</v>
      </c>
      <c r="C53" s="2" t="s">
        <v>278</v>
      </c>
      <c r="D53" s="2" t="s">
        <v>279</v>
      </c>
      <c r="E53" s="2" t="s">
        <v>46</v>
      </c>
      <c r="F53" s="2" t="s">
        <v>12</v>
      </c>
      <c r="G53" s="2" t="s">
        <v>82</v>
      </c>
      <c r="H53" s="2">
        <v>1.0</v>
      </c>
      <c r="I53" s="2" t="s">
        <v>255</v>
      </c>
      <c r="J53" s="2" t="s">
        <v>255</v>
      </c>
      <c r="K53" s="2" t="s">
        <v>171</v>
      </c>
    </row>
    <row r="54" ht="15.75" hidden="1" customHeight="1">
      <c r="A54" s="2" t="s">
        <v>280</v>
      </c>
      <c r="B54" s="2" t="s">
        <v>111</v>
      </c>
      <c r="C54" s="2" t="s">
        <v>281</v>
      </c>
      <c r="D54" s="2" t="s">
        <v>282</v>
      </c>
      <c r="E54" s="2" t="s">
        <v>42</v>
      </c>
      <c r="F54" s="2" t="s">
        <v>12</v>
      </c>
      <c r="G54" s="2" t="s">
        <v>59</v>
      </c>
      <c r="H54" s="2">
        <v>2.0</v>
      </c>
      <c r="I54" s="2" t="s">
        <v>255</v>
      </c>
      <c r="J54" s="2" t="s">
        <v>283</v>
      </c>
      <c r="K54" s="2" t="s">
        <v>167</v>
      </c>
    </row>
    <row r="55" ht="15.75" hidden="1" customHeight="1">
      <c r="A55" s="2" t="s">
        <v>284</v>
      </c>
      <c r="B55" s="2" t="s">
        <v>111</v>
      </c>
      <c r="C55" s="2" t="s">
        <v>285</v>
      </c>
      <c r="D55" s="2" t="s">
        <v>286</v>
      </c>
      <c r="E55" s="2" t="s">
        <v>48</v>
      </c>
      <c r="F55" s="2" t="s">
        <v>12</v>
      </c>
      <c r="G55" s="2" t="s">
        <v>67</v>
      </c>
      <c r="H55" s="2">
        <v>1.0</v>
      </c>
      <c r="I55" s="2" t="s">
        <v>255</v>
      </c>
      <c r="J55" s="2" t="s">
        <v>283</v>
      </c>
      <c r="K55" s="2" t="s">
        <v>171</v>
      </c>
    </row>
    <row r="56" ht="15.75" customHeight="1">
      <c r="A56" s="2" t="s">
        <v>287</v>
      </c>
      <c r="B56" s="2" t="s">
        <v>111</v>
      </c>
      <c r="C56" s="2" t="s">
        <v>288</v>
      </c>
      <c r="D56" s="2" t="s">
        <v>289</v>
      </c>
      <c r="E56" s="2" t="s">
        <v>46</v>
      </c>
      <c r="F56" s="2" t="s">
        <v>12</v>
      </c>
      <c r="G56" s="2" t="s">
        <v>82</v>
      </c>
      <c r="H56" s="2">
        <v>2.0</v>
      </c>
      <c r="I56" s="2" t="s">
        <v>255</v>
      </c>
      <c r="J56" s="2" t="s">
        <v>283</v>
      </c>
      <c r="K56" s="2" t="s">
        <v>171</v>
      </c>
    </row>
    <row r="57" ht="15.75" hidden="1" customHeight="1">
      <c r="A57" s="2" t="s">
        <v>290</v>
      </c>
      <c r="B57" s="2" t="s">
        <v>111</v>
      </c>
      <c r="C57" s="2" t="s">
        <v>291</v>
      </c>
      <c r="D57" s="2" t="s">
        <v>292</v>
      </c>
      <c r="E57" s="2" t="s">
        <v>40</v>
      </c>
      <c r="F57" s="2" t="s">
        <v>12</v>
      </c>
      <c r="G57" s="2" t="s">
        <v>93</v>
      </c>
      <c r="H57" s="2">
        <v>5.0</v>
      </c>
      <c r="I57" s="2" t="s">
        <v>255</v>
      </c>
      <c r="J57" s="2" t="s">
        <v>283</v>
      </c>
      <c r="K57" s="2" t="s">
        <v>163</v>
      </c>
    </row>
    <row r="58" ht="15.75" hidden="1" customHeight="1">
      <c r="A58" s="2" t="s">
        <v>293</v>
      </c>
      <c r="B58" s="2" t="s">
        <v>111</v>
      </c>
      <c r="C58" s="2" t="s">
        <v>294</v>
      </c>
      <c r="D58" s="2" t="s">
        <v>295</v>
      </c>
      <c r="E58" s="2" t="s">
        <v>42</v>
      </c>
      <c r="F58" s="2" t="s">
        <v>12</v>
      </c>
      <c r="G58" s="2" t="s">
        <v>59</v>
      </c>
      <c r="H58" s="2">
        <v>2.0</v>
      </c>
      <c r="I58" s="2" t="s">
        <v>283</v>
      </c>
      <c r="J58" s="2" t="s">
        <v>283</v>
      </c>
      <c r="K58" s="2" t="s">
        <v>167</v>
      </c>
    </row>
    <row r="59" ht="15.75" hidden="1" customHeight="1">
      <c r="A59" s="2" t="s">
        <v>296</v>
      </c>
      <c r="B59" s="2" t="s">
        <v>111</v>
      </c>
      <c r="C59" s="2" t="s">
        <v>297</v>
      </c>
      <c r="D59" s="2" t="s">
        <v>298</v>
      </c>
      <c r="E59" s="2" t="s">
        <v>48</v>
      </c>
      <c r="F59" s="2" t="s">
        <v>12</v>
      </c>
      <c r="G59" s="2" t="s">
        <v>67</v>
      </c>
      <c r="H59" s="2">
        <v>3.0</v>
      </c>
      <c r="I59" s="2" t="s">
        <v>283</v>
      </c>
      <c r="J59" s="2" t="s">
        <v>58</v>
      </c>
      <c r="K59" s="2" t="s">
        <v>171</v>
      </c>
    </row>
    <row r="60" ht="15.75" customHeight="1">
      <c r="A60" s="2" t="s">
        <v>299</v>
      </c>
      <c r="B60" s="2" t="s">
        <v>111</v>
      </c>
      <c r="C60" s="2" t="s">
        <v>300</v>
      </c>
      <c r="D60" s="2" t="s">
        <v>301</v>
      </c>
      <c r="E60" s="2" t="s">
        <v>46</v>
      </c>
      <c r="F60" s="2" t="s">
        <v>12</v>
      </c>
      <c r="G60" s="2" t="s">
        <v>67</v>
      </c>
      <c r="H60" s="2">
        <v>2.0</v>
      </c>
      <c r="I60" s="2" t="s">
        <v>283</v>
      </c>
      <c r="J60" s="2" t="s">
        <v>58</v>
      </c>
      <c r="K60" s="2" t="s">
        <v>171</v>
      </c>
    </row>
    <row r="61" ht="15.75" hidden="1" customHeight="1">
      <c r="A61" s="2" t="s">
        <v>302</v>
      </c>
      <c r="B61" s="2" t="s">
        <v>111</v>
      </c>
      <c r="C61" s="2" t="s">
        <v>303</v>
      </c>
      <c r="D61" s="2" t="s">
        <v>304</v>
      </c>
      <c r="E61" s="2" t="s">
        <v>42</v>
      </c>
      <c r="F61" s="2" t="s">
        <v>12</v>
      </c>
      <c r="G61" s="2" t="s">
        <v>82</v>
      </c>
      <c r="H61" s="2">
        <v>3.0</v>
      </c>
      <c r="I61" s="2" t="s">
        <v>283</v>
      </c>
      <c r="J61" s="2" t="s">
        <v>58</v>
      </c>
      <c r="K61" s="2" t="s">
        <v>167</v>
      </c>
    </row>
    <row r="62" ht="15.75" hidden="1" customHeight="1">
      <c r="A62" s="2" t="s">
        <v>305</v>
      </c>
      <c r="B62" s="2" t="s">
        <v>111</v>
      </c>
      <c r="C62" s="2" t="s">
        <v>306</v>
      </c>
      <c r="D62" s="2" t="s">
        <v>307</v>
      </c>
      <c r="E62" s="2" t="s">
        <v>44</v>
      </c>
      <c r="F62" s="2" t="s">
        <v>12</v>
      </c>
      <c r="G62" s="2" t="s">
        <v>67</v>
      </c>
      <c r="H62" s="2">
        <v>3.0</v>
      </c>
      <c r="I62" s="2" t="s">
        <v>58</v>
      </c>
      <c r="J62" s="2" t="s">
        <v>58</v>
      </c>
      <c r="K62" s="2" t="s">
        <v>167</v>
      </c>
    </row>
    <row r="63" ht="15.75" hidden="1" customHeight="1">
      <c r="A63" s="2" t="s">
        <v>308</v>
      </c>
      <c r="B63" s="2" t="s">
        <v>111</v>
      </c>
      <c r="C63" s="2" t="s">
        <v>309</v>
      </c>
      <c r="D63" s="2" t="s">
        <v>310</v>
      </c>
      <c r="E63" s="2" t="s">
        <v>42</v>
      </c>
      <c r="F63" s="2" t="s">
        <v>12</v>
      </c>
      <c r="G63" s="2" t="s">
        <v>82</v>
      </c>
      <c r="H63" s="2">
        <v>3.0</v>
      </c>
      <c r="I63" s="2" t="s">
        <v>58</v>
      </c>
      <c r="J63" s="2" t="s">
        <v>58</v>
      </c>
      <c r="K63" s="2" t="s">
        <v>167</v>
      </c>
    </row>
    <row r="64" ht="15.75" hidden="1" customHeight="1">
      <c r="A64" s="2" t="s">
        <v>311</v>
      </c>
      <c r="B64" s="2" t="s">
        <v>111</v>
      </c>
      <c r="C64" s="2" t="s">
        <v>312</v>
      </c>
      <c r="D64" s="2" t="s">
        <v>313</v>
      </c>
      <c r="E64" s="2" t="s">
        <v>40</v>
      </c>
      <c r="F64" s="2" t="s">
        <v>12</v>
      </c>
      <c r="G64" s="2" t="s">
        <v>55</v>
      </c>
      <c r="H64" s="2">
        <v>3.0</v>
      </c>
      <c r="I64" s="2" t="s">
        <v>58</v>
      </c>
      <c r="J64" s="2" t="s">
        <v>58</v>
      </c>
      <c r="K64" s="2" t="s">
        <v>114</v>
      </c>
    </row>
    <row r="65" ht="15.75" hidden="1" customHeight="1">
      <c r="A65" s="2" t="s">
        <v>314</v>
      </c>
      <c r="B65" s="2" t="s">
        <v>111</v>
      </c>
      <c r="C65" s="2" t="s">
        <v>315</v>
      </c>
      <c r="D65" s="2" t="s">
        <v>316</v>
      </c>
      <c r="E65" s="2" t="s">
        <v>44</v>
      </c>
      <c r="F65" s="2" t="s">
        <v>12</v>
      </c>
      <c r="G65" s="2" t="s">
        <v>67</v>
      </c>
      <c r="H65" s="2">
        <v>3.0</v>
      </c>
      <c r="I65" s="2" t="s">
        <v>58</v>
      </c>
      <c r="J65" s="2" t="s">
        <v>317</v>
      </c>
      <c r="K65" s="2" t="s">
        <v>167</v>
      </c>
    </row>
    <row r="66" ht="15.75" hidden="1" customHeight="1">
      <c r="A66" s="2" t="s">
        <v>318</v>
      </c>
      <c r="B66" s="2" t="s">
        <v>111</v>
      </c>
      <c r="C66" s="2" t="s">
        <v>319</v>
      </c>
      <c r="D66" s="2" t="s">
        <v>320</v>
      </c>
      <c r="E66" s="2" t="s">
        <v>48</v>
      </c>
      <c r="F66" s="2" t="s">
        <v>12</v>
      </c>
      <c r="G66" s="2" t="s">
        <v>67</v>
      </c>
      <c r="H66" s="2">
        <v>3.0</v>
      </c>
      <c r="I66" s="2" t="s">
        <v>58</v>
      </c>
      <c r="J66" s="2" t="s">
        <v>317</v>
      </c>
      <c r="K66" s="2" t="s">
        <v>171</v>
      </c>
    </row>
    <row r="67" ht="15.75" customHeight="1">
      <c r="A67" s="2" t="s">
        <v>321</v>
      </c>
      <c r="B67" s="2" t="s">
        <v>111</v>
      </c>
      <c r="C67" s="2" t="s">
        <v>322</v>
      </c>
      <c r="D67" s="2" t="s">
        <v>323</v>
      </c>
      <c r="E67" s="2" t="s">
        <v>46</v>
      </c>
      <c r="F67" s="2" t="s">
        <v>12</v>
      </c>
      <c r="G67" s="2" t="s">
        <v>82</v>
      </c>
      <c r="H67" s="2">
        <v>5.0</v>
      </c>
      <c r="I67" s="2" t="s">
        <v>58</v>
      </c>
      <c r="J67" s="2" t="s">
        <v>62</v>
      </c>
      <c r="K67" s="2" t="s">
        <v>171</v>
      </c>
    </row>
    <row r="68" ht="15.75" hidden="1" customHeight="1">
      <c r="A68" s="2" t="s">
        <v>324</v>
      </c>
      <c r="B68" s="2" t="s">
        <v>111</v>
      </c>
      <c r="C68" s="2" t="s">
        <v>325</v>
      </c>
      <c r="D68" s="2" t="s">
        <v>326</v>
      </c>
      <c r="E68" s="2" t="s">
        <v>48</v>
      </c>
      <c r="F68" s="2" t="s">
        <v>12</v>
      </c>
      <c r="G68" s="2" t="s">
        <v>59</v>
      </c>
      <c r="H68" s="2">
        <v>1.0</v>
      </c>
      <c r="I68" s="2" t="s">
        <v>317</v>
      </c>
      <c r="J68" s="2" t="s">
        <v>317</v>
      </c>
      <c r="K68" s="2" t="s">
        <v>171</v>
      </c>
    </row>
    <row r="69" ht="15.75" hidden="1" customHeight="1">
      <c r="A69" s="2" t="s">
        <v>327</v>
      </c>
      <c r="B69" s="2" t="s">
        <v>111</v>
      </c>
      <c r="C69" s="2" t="s">
        <v>328</v>
      </c>
      <c r="D69" s="2" t="s">
        <v>329</v>
      </c>
      <c r="E69" s="2" t="s">
        <v>48</v>
      </c>
      <c r="F69" s="2" t="s">
        <v>12</v>
      </c>
      <c r="G69" s="2" t="s">
        <v>59</v>
      </c>
      <c r="H69" s="2">
        <v>1.0</v>
      </c>
      <c r="I69" s="2" t="s">
        <v>317</v>
      </c>
      <c r="J69" s="2" t="s">
        <v>317</v>
      </c>
      <c r="K69" s="2" t="s">
        <v>171</v>
      </c>
    </row>
    <row r="70" ht="15.75" hidden="1" customHeight="1">
      <c r="A70" s="2" t="s">
        <v>330</v>
      </c>
      <c r="B70" s="2" t="s">
        <v>111</v>
      </c>
      <c r="C70" s="2" t="s">
        <v>331</v>
      </c>
      <c r="D70" s="2" t="s">
        <v>332</v>
      </c>
      <c r="E70" s="2" t="s">
        <v>48</v>
      </c>
      <c r="F70" s="2" t="s">
        <v>12</v>
      </c>
      <c r="G70" s="2" t="s">
        <v>59</v>
      </c>
      <c r="H70" s="2">
        <v>2.0</v>
      </c>
      <c r="I70" s="2" t="s">
        <v>317</v>
      </c>
      <c r="J70" s="2" t="s">
        <v>62</v>
      </c>
      <c r="K70" s="2" t="s">
        <v>171</v>
      </c>
    </row>
    <row r="71" ht="15.75" hidden="1" customHeight="1">
      <c r="A71" s="2" t="s">
        <v>333</v>
      </c>
      <c r="B71" s="2" t="s">
        <v>111</v>
      </c>
      <c r="C71" s="2" t="s">
        <v>334</v>
      </c>
      <c r="D71" s="2" t="s">
        <v>335</v>
      </c>
      <c r="E71" s="2" t="s">
        <v>44</v>
      </c>
      <c r="F71" s="2" t="s">
        <v>12</v>
      </c>
      <c r="G71" s="2" t="s">
        <v>67</v>
      </c>
      <c r="H71" s="2">
        <v>3.0</v>
      </c>
      <c r="I71" s="2" t="s">
        <v>317</v>
      </c>
      <c r="J71" s="2" t="s">
        <v>62</v>
      </c>
      <c r="K71" s="2" t="s">
        <v>167</v>
      </c>
    </row>
    <row r="72" ht="15.75" hidden="1" customHeight="1">
      <c r="A72" s="2" t="s">
        <v>336</v>
      </c>
      <c r="B72" s="2" t="s">
        <v>111</v>
      </c>
      <c r="C72" s="2" t="s">
        <v>337</v>
      </c>
      <c r="D72" s="2" t="s">
        <v>338</v>
      </c>
      <c r="E72" s="2" t="s">
        <v>48</v>
      </c>
      <c r="F72" s="2" t="s">
        <v>12</v>
      </c>
      <c r="G72" s="2" t="s">
        <v>67</v>
      </c>
      <c r="H72" s="2">
        <v>2.0</v>
      </c>
      <c r="I72" s="2" t="s">
        <v>62</v>
      </c>
      <c r="J72" s="2" t="s">
        <v>62</v>
      </c>
      <c r="K72" s="2" t="s">
        <v>171</v>
      </c>
    </row>
    <row r="73" ht="15.75" customHeight="1">
      <c r="A73" s="2" t="s">
        <v>339</v>
      </c>
      <c r="B73" s="2" t="s">
        <v>111</v>
      </c>
      <c r="C73" s="2" t="s">
        <v>340</v>
      </c>
      <c r="D73" s="2" t="s">
        <v>341</v>
      </c>
      <c r="E73" s="2" t="s">
        <v>46</v>
      </c>
      <c r="F73" s="2" t="s">
        <v>12</v>
      </c>
      <c r="G73" s="2" t="s">
        <v>82</v>
      </c>
      <c r="H73" s="2">
        <v>2.0</v>
      </c>
      <c r="I73" s="2" t="s">
        <v>62</v>
      </c>
      <c r="J73" s="2" t="s">
        <v>62</v>
      </c>
      <c r="K73" s="2" t="s">
        <v>171</v>
      </c>
    </row>
    <row r="74" ht="15.75" hidden="1" customHeight="1">
      <c r="A74" s="2" t="s">
        <v>342</v>
      </c>
      <c r="B74" s="2" t="s">
        <v>111</v>
      </c>
      <c r="C74" s="2" t="s">
        <v>343</v>
      </c>
      <c r="D74" s="2" t="s">
        <v>344</v>
      </c>
      <c r="E74" s="2" t="s">
        <v>44</v>
      </c>
      <c r="F74" s="2" t="s">
        <v>12</v>
      </c>
      <c r="G74" s="2" t="s">
        <v>96</v>
      </c>
      <c r="H74" s="2">
        <v>1.0</v>
      </c>
      <c r="I74" s="2" t="s">
        <v>62</v>
      </c>
      <c r="J74" s="2" t="s">
        <v>62</v>
      </c>
      <c r="K74" s="2" t="s">
        <v>118</v>
      </c>
    </row>
    <row r="75" ht="15.75" hidden="1" customHeight="1">
      <c r="A75" s="2" t="s">
        <v>345</v>
      </c>
      <c r="B75" s="2" t="s">
        <v>111</v>
      </c>
      <c r="C75" s="2" t="s">
        <v>346</v>
      </c>
      <c r="D75" s="2" t="s">
        <v>347</v>
      </c>
      <c r="E75" s="2" t="s">
        <v>40</v>
      </c>
      <c r="F75" s="2" t="s">
        <v>12</v>
      </c>
      <c r="G75" s="2" t="s">
        <v>99</v>
      </c>
      <c r="H75" s="2">
        <v>2.0</v>
      </c>
      <c r="I75" s="2" t="s">
        <v>62</v>
      </c>
      <c r="J75" s="2" t="s">
        <v>348</v>
      </c>
      <c r="K75" s="2" t="s">
        <v>349</v>
      </c>
    </row>
    <row r="76" ht="15.75" hidden="1" customHeight="1">
      <c r="A76" s="2" t="s">
        <v>350</v>
      </c>
      <c r="B76" s="2" t="s">
        <v>111</v>
      </c>
      <c r="C76" s="2" t="s">
        <v>351</v>
      </c>
      <c r="D76" s="2" t="s">
        <v>352</v>
      </c>
      <c r="E76" s="2" t="s">
        <v>48</v>
      </c>
      <c r="F76" s="2" t="s">
        <v>12</v>
      </c>
      <c r="G76" s="2" t="s">
        <v>99</v>
      </c>
      <c r="H76" s="2">
        <v>2.0</v>
      </c>
      <c r="I76" s="2" t="s">
        <v>62</v>
      </c>
      <c r="J76" s="2" t="s">
        <v>348</v>
      </c>
      <c r="K76" s="2" t="s">
        <v>353</v>
      </c>
    </row>
    <row r="77" ht="15.75" hidden="1" customHeight="1">
      <c r="A77" s="2" t="s">
        <v>354</v>
      </c>
      <c r="B77" s="2" t="s">
        <v>111</v>
      </c>
      <c r="C77" s="2" t="s">
        <v>355</v>
      </c>
      <c r="D77" s="2" t="s">
        <v>356</v>
      </c>
      <c r="E77" s="2" t="s">
        <v>44</v>
      </c>
      <c r="F77" s="2" t="s">
        <v>12</v>
      </c>
      <c r="G77" s="2" t="s">
        <v>99</v>
      </c>
      <c r="H77" s="2">
        <v>2.0</v>
      </c>
      <c r="I77" s="2" t="s">
        <v>357</v>
      </c>
      <c r="J77" s="2" t="s">
        <v>358</v>
      </c>
      <c r="K77" s="2" t="s">
        <v>353</v>
      </c>
    </row>
    <row r="78" ht="15.75" hidden="1" customHeight="1">
      <c r="A78" s="2" t="s">
        <v>359</v>
      </c>
      <c r="B78" s="2" t="s">
        <v>111</v>
      </c>
      <c r="C78" s="2" t="s">
        <v>360</v>
      </c>
      <c r="D78" s="2" t="s">
        <v>117</v>
      </c>
      <c r="E78" s="2" t="s">
        <v>40</v>
      </c>
      <c r="F78" s="2" t="s">
        <v>12</v>
      </c>
      <c r="G78" s="2" t="s">
        <v>96</v>
      </c>
      <c r="H78" s="2">
        <v>2.0</v>
      </c>
      <c r="I78" s="2" t="s">
        <v>358</v>
      </c>
      <c r="J78" s="2" t="s">
        <v>361</v>
      </c>
      <c r="K78" s="2" t="s">
        <v>118</v>
      </c>
    </row>
    <row r="79" ht="15.75" hidden="1" customHeight="1">
      <c r="A79" s="2" t="s">
        <v>362</v>
      </c>
      <c r="B79" s="2" t="s">
        <v>111</v>
      </c>
      <c r="C79" s="2" t="s">
        <v>363</v>
      </c>
      <c r="D79" s="2" t="s">
        <v>364</v>
      </c>
      <c r="E79" s="2" t="s">
        <v>40</v>
      </c>
      <c r="F79" s="2" t="s">
        <v>12</v>
      </c>
      <c r="G79" s="2" t="s">
        <v>99</v>
      </c>
      <c r="H79" s="2">
        <v>1.0</v>
      </c>
      <c r="I79" s="2" t="s">
        <v>15</v>
      </c>
      <c r="J79" s="2" t="s">
        <v>15</v>
      </c>
      <c r="K79" s="2" t="s">
        <v>349</v>
      </c>
    </row>
    <row r="80" ht="15.75" hidden="1" customHeight="1">
      <c r="A80" s="2" t="s">
        <v>365</v>
      </c>
      <c r="B80" s="2" t="s">
        <v>111</v>
      </c>
      <c r="C80" s="2" t="s">
        <v>366</v>
      </c>
      <c r="D80" s="2" t="s">
        <v>367</v>
      </c>
      <c r="E80" s="2" t="s">
        <v>44</v>
      </c>
      <c r="F80" s="2" t="s">
        <v>17</v>
      </c>
      <c r="G80" s="2" t="s">
        <v>63</v>
      </c>
      <c r="H80" s="2">
        <v>2.0</v>
      </c>
      <c r="I80" s="2" t="s">
        <v>19</v>
      </c>
      <c r="J80" s="2" t="s">
        <v>19</v>
      </c>
      <c r="K80" s="2" t="s">
        <v>368</v>
      </c>
    </row>
    <row r="81" ht="15.75" hidden="1" customHeight="1">
      <c r="A81" s="2" t="s">
        <v>369</v>
      </c>
      <c r="B81" s="2" t="s">
        <v>111</v>
      </c>
      <c r="C81" s="2" t="s">
        <v>370</v>
      </c>
      <c r="D81" s="2" t="s">
        <v>371</v>
      </c>
      <c r="E81" s="2" t="s">
        <v>48</v>
      </c>
      <c r="F81" s="2" t="s">
        <v>17</v>
      </c>
      <c r="G81" s="2" t="s">
        <v>63</v>
      </c>
      <c r="H81" s="2">
        <v>2.0</v>
      </c>
      <c r="I81" s="2" t="s">
        <v>19</v>
      </c>
      <c r="J81" s="2" t="s">
        <v>19</v>
      </c>
      <c r="K81" s="2" t="s">
        <v>372</v>
      </c>
    </row>
    <row r="82" ht="15.75" hidden="1" customHeight="1">
      <c r="A82" s="2" t="s">
        <v>373</v>
      </c>
      <c r="B82" s="2" t="s">
        <v>111</v>
      </c>
      <c r="C82" s="2" t="s">
        <v>374</v>
      </c>
      <c r="D82" s="2" t="s">
        <v>375</v>
      </c>
      <c r="E82" s="2" t="s">
        <v>44</v>
      </c>
      <c r="F82" s="2" t="s">
        <v>17</v>
      </c>
      <c r="G82" s="2" t="s">
        <v>63</v>
      </c>
      <c r="H82" s="2">
        <v>1.0</v>
      </c>
      <c r="I82" s="2" t="s">
        <v>19</v>
      </c>
      <c r="J82" s="2" t="s">
        <v>19</v>
      </c>
      <c r="K82" s="2" t="s">
        <v>368</v>
      </c>
    </row>
    <row r="83" ht="15.75" hidden="1" customHeight="1">
      <c r="A83" s="2" t="s">
        <v>376</v>
      </c>
      <c r="B83" s="2" t="s">
        <v>111</v>
      </c>
      <c r="C83" s="2" t="s">
        <v>377</v>
      </c>
      <c r="D83" s="2" t="s">
        <v>378</v>
      </c>
      <c r="E83" s="2" t="s">
        <v>48</v>
      </c>
      <c r="F83" s="2" t="s">
        <v>17</v>
      </c>
      <c r="G83" s="2" t="s">
        <v>63</v>
      </c>
      <c r="H83" s="2">
        <v>1.0</v>
      </c>
      <c r="I83" s="2" t="s">
        <v>19</v>
      </c>
      <c r="J83" s="2" t="s">
        <v>66</v>
      </c>
      <c r="K83" s="2" t="s">
        <v>372</v>
      </c>
    </row>
    <row r="84" ht="15.75" hidden="1" customHeight="1">
      <c r="A84" s="2" t="s">
        <v>379</v>
      </c>
      <c r="B84" s="2" t="s">
        <v>111</v>
      </c>
      <c r="C84" s="2" t="s">
        <v>380</v>
      </c>
      <c r="D84" s="2" t="s">
        <v>381</v>
      </c>
      <c r="E84" s="2" t="s">
        <v>42</v>
      </c>
      <c r="F84" s="2" t="s">
        <v>17</v>
      </c>
      <c r="G84" s="2" t="s">
        <v>70</v>
      </c>
      <c r="H84" s="2">
        <v>5.0</v>
      </c>
      <c r="I84" s="2" t="s">
        <v>19</v>
      </c>
      <c r="J84" s="2" t="s">
        <v>66</v>
      </c>
      <c r="K84" s="2" t="s">
        <v>368</v>
      </c>
    </row>
    <row r="85" ht="15.75" customHeight="1">
      <c r="A85" s="2" t="s">
        <v>382</v>
      </c>
      <c r="B85" s="2" t="s">
        <v>111</v>
      </c>
      <c r="C85" s="2" t="s">
        <v>383</v>
      </c>
      <c r="D85" s="2" t="s">
        <v>384</v>
      </c>
      <c r="E85" s="2" t="s">
        <v>46</v>
      </c>
      <c r="F85" s="2" t="s">
        <v>17</v>
      </c>
      <c r="G85" s="2" t="s">
        <v>70</v>
      </c>
      <c r="H85" s="2">
        <v>5.0</v>
      </c>
      <c r="I85" s="2" t="s">
        <v>19</v>
      </c>
      <c r="J85" s="2" t="s">
        <v>66</v>
      </c>
      <c r="K85" s="2" t="s">
        <v>372</v>
      </c>
    </row>
    <row r="86" ht="15.75" hidden="1" customHeight="1">
      <c r="A86" s="2" t="s">
        <v>385</v>
      </c>
      <c r="B86" s="2" t="s">
        <v>111</v>
      </c>
      <c r="C86" s="2" t="s">
        <v>386</v>
      </c>
      <c r="D86" s="2" t="s">
        <v>387</v>
      </c>
      <c r="E86" s="2" t="s">
        <v>44</v>
      </c>
      <c r="F86" s="2" t="s">
        <v>17</v>
      </c>
      <c r="G86" s="2" t="s">
        <v>78</v>
      </c>
      <c r="H86" s="2">
        <v>3.0</v>
      </c>
      <c r="I86" s="2" t="s">
        <v>19</v>
      </c>
      <c r="J86" s="2" t="s">
        <v>66</v>
      </c>
      <c r="K86" s="2" t="s">
        <v>368</v>
      </c>
    </row>
    <row r="87" ht="15.75" hidden="1" customHeight="1">
      <c r="A87" s="2" t="s">
        <v>388</v>
      </c>
      <c r="B87" s="2" t="s">
        <v>111</v>
      </c>
      <c r="C87" s="2" t="s">
        <v>389</v>
      </c>
      <c r="D87" s="2" t="s">
        <v>390</v>
      </c>
      <c r="E87" s="2" t="s">
        <v>40</v>
      </c>
      <c r="F87" s="2" t="s">
        <v>17</v>
      </c>
      <c r="G87" s="2" t="s">
        <v>93</v>
      </c>
      <c r="H87" s="2">
        <v>3.0</v>
      </c>
      <c r="I87" s="2" t="s">
        <v>19</v>
      </c>
      <c r="J87" s="2" t="s">
        <v>66</v>
      </c>
      <c r="K87" s="2" t="s">
        <v>163</v>
      </c>
    </row>
    <row r="88" ht="15.75" hidden="1" customHeight="1">
      <c r="A88" s="2" t="s">
        <v>391</v>
      </c>
      <c r="B88" s="2" t="s">
        <v>111</v>
      </c>
      <c r="C88" s="2" t="s">
        <v>392</v>
      </c>
      <c r="D88" s="2" t="s">
        <v>393</v>
      </c>
      <c r="E88" s="2" t="s">
        <v>42</v>
      </c>
      <c r="F88" s="2" t="s">
        <v>17</v>
      </c>
      <c r="G88" s="2" t="s">
        <v>70</v>
      </c>
      <c r="H88" s="2">
        <v>2.0</v>
      </c>
      <c r="I88" s="2" t="s">
        <v>66</v>
      </c>
      <c r="J88" s="2" t="s">
        <v>66</v>
      </c>
      <c r="K88" s="2" t="s">
        <v>368</v>
      </c>
    </row>
    <row r="89" ht="15.75" hidden="1" customHeight="1">
      <c r="A89" s="2" t="s">
        <v>394</v>
      </c>
      <c r="B89" s="2" t="s">
        <v>111</v>
      </c>
      <c r="C89" s="2" t="s">
        <v>395</v>
      </c>
      <c r="D89" s="2" t="s">
        <v>396</v>
      </c>
      <c r="E89" s="2" t="s">
        <v>44</v>
      </c>
      <c r="F89" s="2" t="s">
        <v>17</v>
      </c>
      <c r="G89" s="2" t="s">
        <v>78</v>
      </c>
      <c r="H89" s="2">
        <v>2.0</v>
      </c>
      <c r="I89" s="2" t="s">
        <v>66</v>
      </c>
      <c r="J89" s="2" t="s">
        <v>66</v>
      </c>
      <c r="K89" s="2" t="s">
        <v>368</v>
      </c>
    </row>
    <row r="90" ht="15.75" customHeight="1">
      <c r="A90" s="2" t="s">
        <v>397</v>
      </c>
      <c r="B90" s="2" t="s">
        <v>111</v>
      </c>
      <c r="C90" s="2" t="s">
        <v>398</v>
      </c>
      <c r="D90" s="2" t="s">
        <v>399</v>
      </c>
      <c r="E90" s="2" t="s">
        <v>46</v>
      </c>
      <c r="F90" s="2" t="s">
        <v>17</v>
      </c>
      <c r="G90" s="2" t="s">
        <v>70</v>
      </c>
      <c r="H90" s="2">
        <v>2.0</v>
      </c>
      <c r="I90" s="2" t="s">
        <v>66</v>
      </c>
      <c r="J90" s="2" t="s">
        <v>400</v>
      </c>
      <c r="K90" s="2" t="s">
        <v>372</v>
      </c>
    </row>
    <row r="91" ht="15.75" hidden="1" customHeight="1">
      <c r="A91" s="2" t="s">
        <v>401</v>
      </c>
      <c r="B91" s="2" t="s">
        <v>111</v>
      </c>
      <c r="C91" s="2" t="s">
        <v>402</v>
      </c>
      <c r="D91" s="2" t="s">
        <v>403</v>
      </c>
      <c r="E91" s="2" t="s">
        <v>42</v>
      </c>
      <c r="F91" s="2" t="s">
        <v>17</v>
      </c>
      <c r="G91" s="2" t="s">
        <v>70</v>
      </c>
      <c r="H91" s="2">
        <v>3.0</v>
      </c>
      <c r="I91" s="2" t="s">
        <v>66</v>
      </c>
      <c r="J91" s="2" t="s">
        <v>400</v>
      </c>
      <c r="K91" s="2" t="s">
        <v>368</v>
      </c>
    </row>
    <row r="92" ht="15.75" hidden="1" customHeight="1">
      <c r="A92" s="2" t="s">
        <v>404</v>
      </c>
      <c r="B92" s="2" t="s">
        <v>111</v>
      </c>
      <c r="C92" s="2" t="s">
        <v>405</v>
      </c>
      <c r="D92" s="2" t="s">
        <v>406</v>
      </c>
      <c r="E92" s="2" t="s">
        <v>44</v>
      </c>
      <c r="F92" s="2" t="s">
        <v>17</v>
      </c>
      <c r="G92" s="2" t="s">
        <v>78</v>
      </c>
      <c r="H92" s="2">
        <v>2.0</v>
      </c>
      <c r="I92" s="2" t="s">
        <v>66</v>
      </c>
      <c r="J92" s="2" t="s">
        <v>400</v>
      </c>
      <c r="K92" s="2" t="s">
        <v>368</v>
      </c>
    </row>
    <row r="93" ht="15.75" hidden="1" customHeight="1">
      <c r="A93" s="2" t="s">
        <v>407</v>
      </c>
      <c r="B93" s="2" t="s">
        <v>111</v>
      </c>
      <c r="C93" s="2" t="s">
        <v>408</v>
      </c>
      <c r="D93" s="2" t="s">
        <v>409</v>
      </c>
      <c r="E93" s="2" t="s">
        <v>48</v>
      </c>
      <c r="F93" s="2" t="s">
        <v>17</v>
      </c>
      <c r="G93" s="2" t="s">
        <v>78</v>
      </c>
      <c r="H93" s="2">
        <v>3.0</v>
      </c>
      <c r="I93" s="2" t="s">
        <v>66</v>
      </c>
      <c r="J93" s="2" t="s">
        <v>400</v>
      </c>
      <c r="K93" s="2" t="s">
        <v>372</v>
      </c>
    </row>
    <row r="94" ht="15.75" hidden="1" customHeight="1">
      <c r="A94" s="2" t="s">
        <v>410</v>
      </c>
      <c r="B94" s="2" t="s">
        <v>111</v>
      </c>
      <c r="C94" s="2" t="s">
        <v>411</v>
      </c>
      <c r="D94" s="2" t="s">
        <v>117</v>
      </c>
      <c r="E94" s="2" t="s">
        <v>40</v>
      </c>
      <c r="F94" s="2" t="s">
        <v>17</v>
      </c>
      <c r="G94" s="2" t="s">
        <v>96</v>
      </c>
      <c r="H94" s="2">
        <v>2.0</v>
      </c>
      <c r="I94" s="2" t="s">
        <v>66</v>
      </c>
      <c r="J94" s="2" t="s">
        <v>400</v>
      </c>
      <c r="K94" s="2" t="s">
        <v>118</v>
      </c>
    </row>
    <row r="95" ht="15.75" hidden="1" customHeight="1">
      <c r="A95" s="2" t="s">
        <v>412</v>
      </c>
      <c r="B95" s="2" t="s">
        <v>111</v>
      </c>
      <c r="C95" s="2" t="s">
        <v>413</v>
      </c>
      <c r="D95" s="2" t="s">
        <v>414</v>
      </c>
      <c r="E95" s="2" t="s">
        <v>40</v>
      </c>
      <c r="F95" s="2" t="s">
        <v>17</v>
      </c>
      <c r="G95" s="2" t="s">
        <v>93</v>
      </c>
      <c r="H95" s="2">
        <v>3.0</v>
      </c>
      <c r="I95" s="2" t="s">
        <v>66</v>
      </c>
      <c r="J95" s="2" t="s">
        <v>415</v>
      </c>
      <c r="K95" s="2" t="s">
        <v>163</v>
      </c>
    </row>
    <row r="96" ht="15.75" customHeight="1">
      <c r="A96" s="2" t="s">
        <v>416</v>
      </c>
      <c r="B96" s="2" t="s">
        <v>111</v>
      </c>
      <c r="C96" s="2" t="s">
        <v>417</v>
      </c>
      <c r="D96" s="2" t="s">
        <v>418</v>
      </c>
      <c r="E96" s="2" t="s">
        <v>46</v>
      </c>
      <c r="F96" s="2" t="s">
        <v>17</v>
      </c>
      <c r="G96" s="2" t="s">
        <v>70</v>
      </c>
      <c r="H96" s="2">
        <v>3.0</v>
      </c>
      <c r="I96" s="2" t="s">
        <v>400</v>
      </c>
      <c r="J96" s="2" t="s">
        <v>400</v>
      </c>
      <c r="K96" s="2" t="s">
        <v>372</v>
      </c>
    </row>
    <row r="97" ht="15.75" hidden="1" customHeight="1">
      <c r="A97" s="2" t="s">
        <v>419</v>
      </c>
      <c r="B97" s="2" t="s">
        <v>111</v>
      </c>
      <c r="C97" s="2" t="s">
        <v>420</v>
      </c>
      <c r="D97" s="2" t="s">
        <v>421</v>
      </c>
      <c r="E97" s="2" t="s">
        <v>42</v>
      </c>
      <c r="F97" s="2" t="s">
        <v>17</v>
      </c>
      <c r="G97" s="2" t="s">
        <v>70</v>
      </c>
      <c r="H97" s="2">
        <v>1.0</v>
      </c>
      <c r="I97" s="2" t="s">
        <v>400</v>
      </c>
      <c r="J97" s="2" t="s">
        <v>400</v>
      </c>
      <c r="K97" s="2" t="s">
        <v>368</v>
      </c>
    </row>
    <row r="98" ht="15.75" hidden="1" customHeight="1">
      <c r="A98" s="2" t="s">
        <v>422</v>
      </c>
      <c r="B98" s="2" t="s">
        <v>111</v>
      </c>
      <c r="C98" s="2" t="s">
        <v>423</v>
      </c>
      <c r="D98" s="2" t="s">
        <v>424</v>
      </c>
      <c r="E98" s="2" t="s">
        <v>48</v>
      </c>
      <c r="F98" s="2" t="s">
        <v>17</v>
      </c>
      <c r="G98" s="2" t="s">
        <v>78</v>
      </c>
      <c r="H98" s="2">
        <v>2.0</v>
      </c>
      <c r="I98" s="2" t="s">
        <v>400</v>
      </c>
      <c r="J98" s="2" t="s">
        <v>400</v>
      </c>
      <c r="K98" s="2" t="s">
        <v>372</v>
      </c>
    </row>
    <row r="99" ht="15.75" hidden="1" customHeight="1">
      <c r="A99" s="2" t="s">
        <v>425</v>
      </c>
      <c r="B99" s="2" t="s">
        <v>111</v>
      </c>
      <c r="C99" s="2" t="s">
        <v>426</v>
      </c>
      <c r="D99" s="2" t="s">
        <v>427</v>
      </c>
      <c r="E99" s="2" t="s">
        <v>44</v>
      </c>
      <c r="F99" s="2" t="s">
        <v>17</v>
      </c>
      <c r="G99" s="2" t="s">
        <v>78</v>
      </c>
      <c r="H99" s="2">
        <v>2.0</v>
      </c>
      <c r="I99" s="2" t="s">
        <v>400</v>
      </c>
      <c r="J99" s="2" t="s">
        <v>400</v>
      </c>
      <c r="K99" s="2" t="s">
        <v>368</v>
      </c>
    </row>
    <row r="100" ht="15.75" customHeight="1">
      <c r="A100" s="2" t="s">
        <v>428</v>
      </c>
      <c r="B100" s="2" t="s">
        <v>111</v>
      </c>
      <c r="C100" s="2" t="s">
        <v>429</v>
      </c>
      <c r="D100" s="2" t="s">
        <v>430</v>
      </c>
      <c r="E100" s="2" t="s">
        <v>46</v>
      </c>
      <c r="F100" s="2" t="s">
        <v>17</v>
      </c>
      <c r="G100" s="2" t="s">
        <v>70</v>
      </c>
      <c r="H100" s="2">
        <v>1.0</v>
      </c>
      <c r="I100" s="2" t="s">
        <v>400</v>
      </c>
      <c r="J100" s="2" t="s">
        <v>415</v>
      </c>
      <c r="K100" s="2" t="s">
        <v>372</v>
      </c>
    </row>
    <row r="101" ht="15.75" hidden="1" customHeight="1">
      <c r="A101" s="2" t="s">
        <v>431</v>
      </c>
      <c r="B101" s="2" t="s">
        <v>111</v>
      </c>
      <c r="C101" s="2" t="s">
        <v>432</v>
      </c>
      <c r="D101" s="2" t="s">
        <v>433</v>
      </c>
      <c r="E101" s="2" t="s">
        <v>42</v>
      </c>
      <c r="F101" s="2" t="s">
        <v>17</v>
      </c>
      <c r="G101" s="2" t="s">
        <v>70</v>
      </c>
      <c r="H101" s="2">
        <v>3.0</v>
      </c>
      <c r="I101" s="2" t="s">
        <v>400</v>
      </c>
      <c r="J101" s="2" t="s">
        <v>415</v>
      </c>
      <c r="K101" s="2" t="s">
        <v>368</v>
      </c>
    </row>
    <row r="102" ht="15.75" hidden="1" customHeight="1">
      <c r="A102" s="2" t="s">
        <v>434</v>
      </c>
      <c r="B102" s="2" t="s">
        <v>111</v>
      </c>
      <c r="C102" s="2" t="s">
        <v>435</v>
      </c>
      <c r="D102" s="2" t="s">
        <v>436</v>
      </c>
      <c r="E102" s="2" t="s">
        <v>48</v>
      </c>
      <c r="F102" s="2" t="s">
        <v>17</v>
      </c>
      <c r="G102" s="2" t="s">
        <v>78</v>
      </c>
      <c r="H102" s="2">
        <v>2.0</v>
      </c>
      <c r="I102" s="2" t="s">
        <v>400</v>
      </c>
      <c r="J102" s="2" t="s">
        <v>415</v>
      </c>
      <c r="K102" s="2" t="s">
        <v>372</v>
      </c>
    </row>
    <row r="103" ht="15.75" hidden="1" customHeight="1">
      <c r="A103" s="2" t="s">
        <v>437</v>
      </c>
      <c r="B103" s="2" t="s">
        <v>111</v>
      </c>
      <c r="C103" s="2" t="s">
        <v>438</v>
      </c>
      <c r="D103" s="2" t="s">
        <v>439</v>
      </c>
      <c r="E103" s="2" t="s">
        <v>44</v>
      </c>
      <c r="F103" s="2" t="s">
        <v>17</v>
      </c>
      <c r="G103" s="2" t="s">
        <v>78</v>
      </c>
      <c r="H103" s="2">
        <v>2.0</v>
      </c>
      <c r="I103" s="2" t="s">
        <v>400</v>
      </c>
      <c r="J103" s="2" t="s">
        <v>415</v>
      </c>
      <c r="K103" s="2" t="s">
        <v>368</v>
      </c>
    </row>
    <row r="104" ht="15.75" hidden="1" customHeight="1">
      <c r="A104" s="2" t="s">
        <v>440</v>
      </c>
      <c r="B104" s="2" t="s">
        <v>111</v>
      </c>
      <c r="C104" s="2" t="s">
        <v>441</v>
      </c>
      <c r="D104" s="2" t="s">
        <v>442</v>
      </c>
      <c r="E104" s="2" t="s">
        <v>42</v>
      </c>
      <c r="F104" s="2" t="s">
        <v>17</v>
      </c>
      <c r="G104" s="2" t="s">
        <v>70</v>
      </c>
      <c r="H104" s="2">
        <v>2.0</v>
      </c>
      <c r="I104" s="2" t="s">
        <v>415</v>
      </c>
      <c r="J104" s="2" t="s">
        <v>415</v>
      </c>
      <c r="K104" s="2" t="s">
        <v>368</v>
      </c>
    </row>
    <row r="105" ht="15.75" hidden="1" customHeight="1">
      <c r="A105" s="2" t="s">
        <v>443</v>
      </c>
      <c r="B105" s="2" t="s">
        <v>111</v>
      </c>
      <c r="C105" s="2" t="s">
        <v>444</v>
      </c>
      <c r="D105" s="2" t="s">
        <v>445</v>
      </c>
      <c r="E105" s="2" t="s">
        <v>42</v>
      </c>
      <c r="F105" s="2" t="s">
        <v>17</v>
      </c>
      <c r="G105" s="2" t="s">
        <v>70</v>
      </c>
      <c r="H105" s="2">
        <v>2.0</v>
      </c>
      <c r="I105" s="2" t="s">
        <v>415</v>
      </c>
      <c r="J105" s="2" t="s">
        <v>415</v>
      </c>
      <c r="K105" s="2" t="s">
        <v>368</v>
      </c>
    </row>
    <row r="106" ht="15.75" hidden="1" customHeight="1">
      <c r="A106" s="2" t="s">
        <v>446</v>
      </c>
      <c r="B106" s="2" t="s">
        <v>111</v>
      </c>
      <c r="C106" s="2" t="s">
        <v>447</v>
      </c>
      <c r="D106" s="2" t="s">
        <v>448</v>
      </c>
      <c r="E106" s="2" t="s">
        <v>44</v>
      </c>
      <c r="F106" s="2" t="s">
        <v>17</v>
      </c>
      <c r="G106" s="2" t="s">
        <v>78</v>
      </c>
      <c r="H106" s="2">
        <v>1.0</v>
      </c>
      <c r="I106" s="2" t="s">
        <v>415</v>
      </c>
      <c r="J106" s="2" t="s">
        <v>415</v>
      </c>
      <c r="K106" s="2" t="s">
        <v>368</v>
      </c>
    </row>
    <row r="107" ht="15.75" customHeight="1">
      <c r="A107" s="2" t="s">
        <v>449</v>
      </c>
      <c r="B107" s="2" t="s">
        <v>111</v>
      </c>
      <c r="C107" s="2" t="s">
        <v>450</v>
      </c>
      <c r="D107" s="2" t="s">
        <v>451</v>
      </c>
      <c r="E107" s="2" t="s">
        <v>46</v>
      </c>
      <c r="F107" s="2" t="s">
        <v>17</v>
      </c>
      <c r="G107" s="2" t="s">
        <v>70</v>
      </c>
      <c r="H107" s="2">
        <v>3.0</v>
      </c>
      <c r="I107" s="2" t="s">
        <v>415</v>
      </c>
      <c r="J107" s="2" t="s">
        <v>452</v>
      </c>
      <c r="K107" s="2" t="s">
        <v>372</v>
      </c>
    </row>
    <row r="108" ht="15.75" hidden="1" customHeight="1">
      <c r="A108" s="2" t="s">
        <v>453</v>
      </c>
      <c r="B108" s="2" t="s">
        <v>111</v>
      </c>
      <c r="C108" s="2" t="s">
        <v>454</v>
      </c>
      <c r="D108" s="2" t="s">
        <v>455</v>
      </c>
      <c r="E108" s="2" t="s">
        <v>48</v>
      </c>
      <c r="F108" s="2" t="s">
        <v>17</v>
      </c>
      <c r="G108" s="2" t="s">
        <v>78</v>
      </c>
      <c r="H108" s="2">
        <v>2.0</v>
      </c>
      <c r="I108" s="2" t="s">
        <v>415</v>
      </c>
      <c r="J108" s="2" t="s">
        <v>452</v>
      </c>
      <c r="K108" s="2" t="s">
        <v>372</v>
      </c>
    </row>
    <row r="109" ht="15.75" hidden="1" customHeight="1">
      <c r="A109" s="2" t="s">
        <v>456</v>
      </c>
      <c r="B109" s="2" t="s">
        <v>111</v>
      </c>
      <c r="C109" s="2" t="s">
        <v>457</v>
      </c>
      <c r="D109" s="2" t="s">
        <v>458</v>
      </c>
      <c r="E109" s="2" t="s">
        <v>44</v>
      </c>
      <c r="F109" s="2" t="s">
        <v>17</v>
      </c>
      <c r="G109" s="2" t="s">
        <v>78</v>
      </c>
      <c r="H109" s="2">
        <v>2.0</v>
      </c>
      <c r="I109" s="2" t="s">
        <v>415</v>
      </c>
      <c r="J109" s="2" t="s">
        <v>452</v>
      </c>
      <c r="K109" s="2" t="s">
        <v>368</v>
      </c>
    </row>
    <row r="110" ht="15.75" hidden="1" customHeight="1">
      <c r="A110" s="2" t="s">
        <v>459</v>
      </c>
      <c r="B110" s="2" t="s">
        <v>111</v>
      </c>
      <c r="C110" s="2" t="s">
        <v>460</v>
      </c>
      <c r="D110" s="2" t="s">
        <v>461</v>
      </c>
      <c r="E110" s="2" t="s">
        <v>42</v>
      </c>
      <c r="F110" s="2" t="s">
        <v>17</v>
      </c>
      <c r="G110" s="2" t="s">
        <v>70</v>
      </c>
      <c r="H110" s="2">
        <v>8.0</v>
      </c>
      <c r="I110" s="2" t="s">
        <v>415</v>
      </c>
      <c r="J110" s="2" t="s">
        <v>77</v>
      </c>
      <c r="K110" s="2" t="s">
        <v>368</v>
      </c>
    </row>
    <row r="111" ht="15.75" hidden="1" customHeight="1">
      <c r="A111" s="2" t="s">
        <v>462</v>
      </c>
      <c r="B111" s="2" t="s">
        <v>111</v>
      </c>
      <c r="C111" s="2" t="s">
        <v>463</v>
      </c>
      <c r="D111" s="2" t="s">
        <v>464</v>
      </c>
      <c r="E111" s="2" t="s">
        <v>40</v>
      </c>
      <c r="F111" s="2" t="s">
        <v>17</v>
      </c>
      <c r="G111" s="2" t="s">
        <v>93</v>
      </c>
      <c r="H111" s="2">
        <v>5.0</v>
      </c>
      <c r="I111" s="2" t="s">
        <v>415</v>
      </c>
      <c r="J111" s="2" t="s">
        <v>77</v>
      </c>
      <c r="K111" s="2" t="s">
        <v>163</v>
      </c>
    </row>
    <row r="112" ht="15.75" customHeight="1">
      <c r="A112" s="2" t="s">
        <v>465</v>
      </c>
      <c r="B112" s="2" t="s">
        <v>111</v>
      </c>
      <c r="C112" s="2" t="s">
        <v>466</v>
      </c>
      <c r="D112" s="2" t="s">
        <v>467</v>
      </c>
      <c r="E112" s="2" t="s">
        <v>46</v>
      </c>
      <c r="F112" s="2" t="s">
        <v>17</v>
      </c>
      <c r="G112" s="2" t="s">
        <v>70</v>
      </c>
      <c r="H112" s="2">
        <v>2.0</v>
      </c>
      <c r="I112" s="2" t="s">
        <v>452</v>
      </c>
      <c r="J112" s="2" t="s">
        <v>452</v>
      </c>
      <c r="K112" s="2" t="s">
        <v>372</v>
      </c>
    </row>
    <row r="113" ht="15.75" hidden="1" customHeight="1">
      <c r="A113" s="2" t="s">
        <v>468</v>
      </c>
      <c r="B113" s="2" t="s">
        <v>111</v>
      </c>
      <c r="C113" s="2" t="s">
        <v>469</v>
      </c>
      <c r="D113" s="2" t="s">
        <v>470</v>
      </c>
      <c r="E113" s="2" t="s">
        <v>44</v>
      </c>
      <c r="F113" s="2" t="s">
        <v>17</v>
      </c>
      <c r="G113" s="2" t="s">
        <v>78</v>
      </c>
      <c r="H113" s="2">
        <v>3.0</v>
      </c>
      <c r="I113" s="2" t="s">
        <v>452</v>
      </c>
      <c r="J113" s="2" t="s">
        <v>452</v>
      </c>
      <c r="K113" s="2" t="s">
        <v>368</v>
      </c>
    </row>
    <row r="114" ht="15.75" customHeight="1">
      <c r="A114" s="2" t="s">
        <v>471</v>
      </c>
      <c r="B114" s="2" t="s">
        <v>111</v>
      </c>
      <c r="C114" s="2" t="s">
        <v>472</v>
      </c>
      <c r="D114" s="2" t="s">
        <v>473</v>
      </c>
      <c r="E114" s="2" t="s">
        <v>46</v>
      </c>
      <c r="F114" s="2" t="s">
        <v>17</v>
      </c>
      <c r="G114" s="2" t="s">
        <v>70</v>
      </c>
      <c r="H114" s="2">
        <v>2.0</v>
      </c>
      <c r="I114" s="2" t="s">
        <v>452</v>
      </c>
      <c r="J114" s="2" t="s">
        <v>77</v>
      </c>
      <c r="K114" s="2" t="s">
        <v>372</v>
      </c>
    </row>
    <row r="115" ht="15.75" hidden="1" customHeight="1">
      <c r="A115" s="2" t="s">
        <v>474</v>
      </c>
      <c r="B115" s="2" t="s">
        <v>111</v>
      </c>
      <c r="C115" s="2" t="s">
        <v>475</v>
      </c>
      <c r="D115" s="2" t="s">
        <v>476</v>
      </c>
      <c r="E115" s="2" t="s">
        <v>48</v>
      </c>
      <c r="F115" s="2" t="s">
        <v>17</v>
      </c>
      <c r="G115" s="2" t="s">
        <v>78</v>
      </c>
      <c r="H115" s="2">
        <v>2.0</v>
      </c>
      <c r="I115" s="2" t="s">
        <v>452</v>
      </c>
      <c r="J115" s="2" t="s">
        <v>77</v>
      </c>
      <c r="K115" s="2" t="s">
        <v>372</v>
      </c>
    </row>
    <row r="116" ht="15.75" hidden="1" customHeight="1">
      <c r="A116" s="2" t="s">
        <v>477</v>
      </c>
      <c r="B116" s="2" t="s">
        <v>111</v>
      </c>
      <c r="C116" s="2" t="s">
        <v>478</v>
      </c>
      <c r="D116" s="2" t="s">
        <v>479</v>
      </c>
      <c r="E116" s="2" t="s">
        <v>44</v>
      </c>
      <c r="F116" s="2" t="s">
        <v>17</v>
      </c>
      <c r="G116" s="2" t="s">
        <v>78</v>
      </c>
      <c r="H116" s="2">
        <v>2.0</v>
      </c>
      <c r="I116" s="2" t="s">
        <v>452</v>
      </c>
      <c r="J116" s="2" t="s">
        <v>77</v>
      </c>
      <c r="K116" s="2" t="s">
        <v>368</v>
      </c>
    </row>
    <row r="117" ht="15.75" hidden="1" customHeight="1">
      <c r="A117" s="2" t="s">
        <v>480</v>
      </c>
      <c r="B117" s="2" t="s">
        <v>111</v>
      </c>
      <c r="C117" s="2" t="s">
        <v>481</v>
      </c>
      <c r="D117" s="2" t="s">
        <v>482</v>
      </c>
      <c r="E117" s="2" t="s">
        <v>48</v>
      </c>
      <c r="F117" s="2" t="s">
        <v>17</v>
      </c>
      <c r="G117" s="2" t="s">
        <v>78</v>
      </c>
      <c r="H117" s="2">
        <v>1.0</v>
      </c>
      <c r="I117" s="2" t="s">
        <v>77</v>
      </c>
      <c r="J117" s="2" t="s">
        <v>77</v>
      </c>
      <c r="K117" s="2" t="s">
        <v>372</v>
      </c>
    </row>
    <row r="118" ht="15.75" customHeight="1">
      <c r="A118" s="2" t="s">
        <v>483</v>
      </c>
      <c r="B118" s="2" t="s">
        <v>111</v>
      </c>
      <c r="C118" s="2" t="s">
        <v>484</v>
      </c>
      <c r="D118" s="2" t="s">
        <v>485</v>
      </c>
      <c r="E118" s="2" t="s">
        <v>46</v>
      </c>
      <c r="F118" s="2" t="s">
        <v>17</v>
      </c>
      <c r="G118" s="2" t="s">
        <v>70</v>
      </c>
      <c r="H118" s="2">
        <v>5.0</v>
      </c>
      <c r="I118" s="2" t="s">
        <v>77</v>
      </c>
      <c r="J118" s="2" t="s">
        <v>486</v>
      </c>
      <c r="K118" s="2" t="s">
        <v>372</v>
      </c>
    </row>
    <row r="119" ht="15.75" hidden="1" customHeight="1">
      <c r="A119" s="2" t="s">
        <v>487</v>
      </c>
      <c r="B119" s="2" t="s">
        <v>111</v>
      </c>
      <c r="C119" s="2" t="s">
        <v>488</v>
      </c>
      <c r="D119" s="2" t="s">
        <v>489</v>
      </c>
      <c r="E119" s="2" t="s">
        <v>42</v>
      </c>
      <c r="F119" s="2" t="s">
        <v>17</v>
      </c>
      <c r="G119" s="2" t="s">
        <v>70</v>
      </c>
      <c r="H119" s="2">
        <v>3.0</v>
      </c>
      <c r="I119" s="2" t="s">
        <v>77</v>
      </c>
      <c r="J119" s="2" t="s">
        <v>486</v>
      </c>
      <c r="K119" s="2" t="s">
        <v>368</v>
      </c>
    </row>
    <row r="120" ht="15.75" hidden="1" customHeight="1">
      <c r="A120" s="2" t="s">
        <v>490</v>
      </c>
      <c r="B120" s="2" t="s">
        <v>111</v>
      </c>
      <c r="C120" s="2" t="s">
        <v>491</v>
      </c>
      <c r="D120" s="2" t="s">
        <v>492</v>
      </c>
      <c r="E120" s="2" t="s">
        <v>40</v>
      </c>
      <c r="F120" s="2" t="s">
        <v>17</v>
      </c>
      <c r="G120" s="2" t="s">
        <v>70</v>
      </c>
      <c r="H120" s="2">
        <v>2.0</v>
      </c>
      <c r="I120" s="2" t="s">
        <v>77</v>
      </c>
      <c r="J120" s="2" t="s">
        <v>486</v>
      </c>
      <c r="K120" s="2" t="s">
        <v>368</v>
      </c>
    </row>
    <row r="121" ht="15.75" hidden="1" customHeight="1">
      <c r="A121" s="2" t="s">
        <v>493</v>
      </c>
      <c r="B121" s="2" t="s">
        <v>111</v>
      </c>
      <c r="C121" s="2" t="s">
        <v>494</v>
      </c>
      <c r="D121" s="2" t="s">
        <v>495</v>
      </c>
      <c r="E121" s="2" t="s">
        <v>44</v>
      </c>
      <c r="F121" s="2" t="s">
        <v>17</v>
      </c>
      <c r="G121" s="2" t="s">
        <v>74</v>
      </c>
      <c r="H121" s="2">
        <v>3.0</v>
      </c>
      <c r="I121" s="2" t="s">
        <v>77</v>
      </c>
      <c r="J121" s="2" t="s">
        <v>486</v>
      </c>
      <c r="K121" s="2" t="s">
        <v>368</v>
      </c>
    </row>
    <row r="122" ht="15.75" hidden="1" customHeight="1">
      <c r="A122" s="2" t="s">
        <v>496</v>
      </c>
      <c r="B122" s="2" t="s">
        <v>111</v>
      </c>
      <c r="C122" s="2" t="s">
        <v>497</v>
      </c>
      <c r="D122" s="2" t="s">
        <v>498</v>
      </c>
      <c r="E122" s="2" t="s">
        <v>48</v>
      </c>
      <c r="F122" s="2" t="s">
        <v>17</v>
      </c>
      <c r="G122" s="2" t="s">
        <v>78</v>
      </c>
      <c r="H122" s="2">
        <v>2.0</v>
      </c>
      <c r="I122" s="2" t="s">
        <v>77</v>
      </c>
      <c r="J122" s="2" t="s">
        <v>486</v>
      </c>
      <c r="K122" s="2" t="s">
        <v>372</v>
      </c>
    </row>
    <row r="123" ht="15.75" hidden="1" customHeight="1">
      <c r="A123" s="2" t="s">
        <v>499</v>
      </c>
      <c r="B123" s="2" t="s">
        <v>111</v>
      </c>
      <c r="C123" s="2" t="s">
        <v>500</v>
      </c>
      <c r="D123" s="2" t="s">
        <v>501</v>
      </c>
      <c r="E123" s="2" t="s">
        <v>42</v>
      </c>
      <c r="F123" s="2" t="s">
        <v>17</v>
      </c>
      <c r="G123" s="2" t="s">
        <v>70</v>
      </c>
      <c r="H123" s="2">
        <v>2.0</v>
      </c>
      <c r="I123" s="2" t="s">
        <v>486</v>
      </c>
      <c r="J123" s="2" t="s">
        <v>486</v>
      </c>
      <c r="K123" s="2" t="s">
        <v>368</v>
      </c>
    </row>
    <row r="124" ht="15.75" hidden="1" customHeight="1">
      <c r="A124" s="2" t="s">
        <v>502</v>
      </c>
      <c r="B124" s="2" t="s">
        <v>111</v>
      </c>
      <c r="C124" s="2" t="s">
        <v>503</v>
      </c>
      <c r="D124" s="2" t="s">
        <v>504</v>
      </c>
      <c r="E124" s="2" t="s">
        <v>42</v>
      </c>
      <c r="F124" s="2" t="s">
        <v>17</v>
      </c>
      <c r="G124" s="2" t="s">
        <v>70</v>
      </c>
      <c r="H124" s="2">
        <v>1.0</v>
      </c>
      <c r="I124" s="2" t="s">
        <v>486</v>
      </c>
      <c r="J124" s="2" t="s">
        <v>486</v>
      </c>
      <c r="K124" s="2" t="s">
        <v>368</v>
      </c>
    </row>
    <row r="125" ht="15.75" hidden="1" customHeight="1">
      <c r="A125" s="2" t="s">
        <v>505</v>
      </c>
      <c r="B125" s="2" t="s">
        <v>111</v>
      </c>
      <c r="C125" s="2" t="s">
        <v>506</v>
      </c>
      <c r="D125" s="2" t="s">
        <v>507</v>
      </c>
      <c r="E125" s="2" t="s">
        <v>44</v>
      </c>
      <c r="F125" s="2" t="s">
        <v>17</v>
      </c>
      <c r="G125" s="2" t="s">
        <v>74</v>
      </c>
      <c r="H125" s="2">
        <v>2.0</v>
      </c>
      <c r="I125" s="2" t="s">
        <v>486</v>
      </c>
      <c r="J125" s="2" t="s">
        <v>486</v>
      </c>
      <c r="K125" s="2" t="s">
        <v>368</v>
      </c>
    </row>
    <row r="126" ht="15.75" hidden="1" customHeight="1">
      <c r="A126" s="2" t="s">
        <v>508</v>
      </c>
      <c r="B126" s="2" t="s">
        <v>111</v>
      </c>
      <c r="C126" s="2" t="s">
        <v>509</v>
      </c>
      <c r="D126" s="2" t="s">
        <v>510</v>
      </c>
      <c r="E126" s="2" t="s">
        <v>44</v>
      </c>
      <c r="F126" s="2" t="s">
        <v>17</v>
      </c>
      <c r="G126" s="2" t="s">
        <v>74</v>
      </c>
      <c r="H126" s="2">
        <v>2.0</v>
      </c>
      <c r="I126" s="2" t="s">
        <v>486</v>
      </c>
      <c r="J126" s="2" t="s">
        <v>486</v>
      </c>
      <c r="K126" s="2" t="s">
        <v>368</v>
      </c>
    </row>
    <row r="127" ht="15.75" hidden="1" customHeight="1">
      <c r="A127" s="2" t="s">
        <v>511</v>
      </c>
      <c r="B127" s="2" t="s">
        <v>111</v>
      </c>
      <c r="C127" s="2" t="s">
        <v>512</v>
      </c>
      <c r="D127" s="2" t="s">
        <v>513</v>
      </c>
      <c r="E127" s="2" t="s">
        <v>48</v>
      </c>
      <c r="F127" s="2" t="s">
        <v>17</v>
      </c>
      <c r="G127" s="2" t="s">
        <v>78</v>
      </c>
      <c r="H127" s="2">
        <v>2.0</v>
      </c>
      <c r="I127" s="2" t="s">
        <v>486</v>
      </c>
      <c r="J127" s="2" t="s">
        <v>486</v>
      </c>
      <c r="K127" s="2" t="s">
        <v>372</v>
      </c>
    </row>
    <row r="128" ht="15.75" customHeight="1">
      <c r="A128" s="2" t="s">
        <v>514</v>
      </c>
      <c r="B128" s="2" t="s">
        <v>111</v>
      </c>
      <c r="C128" s="2" t="s">
        <v>515</v>
      </c>
      <c r="D128" s="2" t="s">
        <v>516</v>
      </c>
      <c r="E128" s="2" t="s">
        <v>46</v>
      </c>
      <c r="F128" s="2" t="s">
        <v>17</v>
      </c>
      <c r="G128" s="2" t="s">
        <v>70</v>
      </c>
      <c r="H128" s="2">
        <v>3.0</v>
      </c>
      <c r="I128" s="2" t="s">
        <v>486</v>
      </c>
      <c r="J128" s="2" t="s">
        <v>81</v>
      </c>
      <c r="K128" s="2" t="s">
        <v>372</v>
      </c>
    </row>
    <row r="129" ht="15.75" hidden="1" customHeight="1">
      <c r="A129" s="2" t="s">
        <v>517</v>
      </c>
      <c r="B129" s="2" t="s">
        <v>111</v>
      </c>
      <c r="C129" s="2" t="s">
        <v>518</v>
      </c>
      <c r="D129" s="2" t="s">
        <v>519</v>
      </c>
      <c r="E129" s="2" t="s">
        <v>48</v>
      </c>
      <c r="F129" s="2" t="s">
        <v>17</v>
      </c>
      <c r="G129" s="2" t="s">
        <v>78</v>
      </c>
      <c r="H129" s="2">
        <v>1.0</v>
      </c>
      <c r="I129" s="2" t="s">
        <v>486</v>
      </c>
      <c r="J129" s="2" t="s">
        <v>81</v>
      </c>
      <c r="K129" s="2" t="s">
        <v>372</v>
      </c>
    </row>
    <row r="130" ht="15.75" customHeight="1">
      <c r="A130" s="2" t="s">
        <v>520</v>
      </c>
      <c r="B130" s="2" t="s">
        <v>111</v>
      </c>
      <c r="C130" s="2" t="s">
        <v>521</v>
      </c>
      <c r="D130" s="2" t="s">
        <v>522</v>
      </c>
      <c r="E130" s="2" t="s">
        <v>46</v>
      </c>
      <c r="F130" s="2" t="s">
        <v>17</v>
      </c>
      <c r="G130" s="2" t="s">
        <v>70</v>
      </c>
      <c r="H130" s="2">
        <v>1.0</v>
      </c>
      <c r="I130" s="2" t="s">
        <v>81</v>
      </c>
      <c r="J130" s="2" t="s">
        <v>81</v>
      </c>
      <c r="K130" s="2" t="s">
        <v>372</v>
      </c>
    </row>
    <row r="131" ht="15.75" hidden="1" customHeight="1">
      <c r="A131" s="2" t="s">
        <v>523</v>
      </c>
      <c r="B131" s="2" t="s">
        <v>111</v>
      </c>
      <c r="C131" s="2" t="s">
        <v>524</v>
      </c>
      <c r="D131" s="2" t="s">
        <v>525</v>
      </c>
      <c r="E131" s="2" t="s">
        <v>48</v>
      </c>
      <c r="F131" s="2" t="s">
        <v>17</v>
      </c>
      <c r="G131" s="2" t="s">
        <v>74</v>
      </c>
      <c r="H131" s="2">
        <v>2.0</v>
      </c>
      <c r="I131" s="2" t="s">
        <v>81</v>
      </c>
      <c r="J131" s="2" t="s">
        <v>81</v>
      </c>
      <c r="K131" s="2" t="s">
        <v>372</v>
      </c>
    </row>
    <row r="132" ht="15.75" customHeight="1">
      <c r="A132" s="2" t="s">
        <v>526</v>
      </c>
      <c r="B132" s="2" t="s">
        <v>111</v>
      </c>
      <c r="C132" s="2" t="s">
        <v>527</v>
      </c>
      <c r="D132" s="2" t="s">
        <v>528</v>
      </c>
      <c r="E132" s="2" t="s">
        <v>46</v>
      </c>
      <c r="F132" s="2" t="s">
        <v>17</v>
      </c>
      <c r="G132" s="2" t="s">
        <v>70</v>
      </c>
      <c r="H132" s="2">
        <v>2.0</v>
      </c>
      <c r="I132" s="2" t="s">
        <v>81</v>
      </c>
      <c r="J132" s="2" t="s">
        <v>73</v>
      </c>
      <c r="K132" s="2" t="s">
        <v>372</v>
      </c>
    </row>
    <row r="133" ht="15.75" hidden="1" customHeight="1">
      <c r="A133" s="2" t="s">
        <v>529</v>
      </c>
      <c r="B133" s="2" t="s">
        <v>111</v>
      </c>
      <c r="C133" s="2" t="s">
        <v>530</v>
      </c>
      <c r="D133" s="2" t="s">
        <v>531</v>
      </c>
      <c r="E133" s="2" t="s">
        <v>48</v>
      </c>
      <c r="F133" s="2" t="s">
        <v>17</v>
      </c>
      <c r="G133" s="2" t="s">
        <v>74</v>
      </c>
      <c r="H133" s="2">
        <v>2.0</v>
      </c>
      <c r="I133" s="2" t="s">
        <v>81</v>
      </c>
      <c r="J133" s="2" t="s">
        <v>73</v>
      </c>
      <c r="K133" s="2" t="s">
        <v>372</v>
      </c>
    </row>
    <row r="134" ht="15.75" customHeight="1">
      <c r="A134" s="2" t="s">
        <v>532</v>
      </c>
      <c r="B134" s="2" t="s">
        <v>111</v>
      </c>
      <c r="C134" s="2" t="s">
        <v>533</v>
      </c>
      <c r="D134" s="2" t="s">
        <v>534</v>
      </c>
      <c r="E134" s="2" t="s">
        <v>46</v>
      </c>
      <c r="F134" s="2" t="s">
        <v>17</v>
      </c>
      <c r="G134" s="2" t="s">
        <v>70</v>
      </c>
      <c r="H134" s="2">
        <v>2.0</v>
      </c>
      <c r="I134" s="2" t="s">
        <v>73</v>
      </c>
      <c r="J134" s="2" t="s">
        <v>73</v>
      </c>
      <c r="K134" s="2" t="s">
        <v>372</v>
      </c>
    </row>
    <row r="135" ht="15.75" hidden="1" customHeight="1">
      <c r="A135" s="2" t="s">
        <v>535</v>
      </c>
      <c r="B135" s="2" t="s">
        <v>111</v>
      </c>
      <c r="C135" s="2" t="s">
        <v>536</v>
      </c>
      <c r="D135" s="2" t="s">
        <v>537</v>
      </c>
      <c r="E135" s="2" t="s">
        <v>48</v>
      </c>
      <c r="F135" s="2" t="s">
        <v>17</v>
      </c>
      <c r="G135" s="2" t="s">
        <v>74</v>
      </c>
      <c r="H135" s="2">
        <v>1.0</v>
      </c>
      <c r="I135" s="2" t="s">
        <v>73</v>
      </c>
      <c r="J135" s="2" t="s">
        <v>73</v>
      </c>
      <c r="K135" s="2" t="s">
        <v>372</v>
      </c>
    </row>
    <row r="136" ht="15.75" hidden="1" customHeight="1">
      <c r="A136" s="2" t="s">
        <v>538</v>
      </c>
      <c r="B136" s="2" t="s">
        <v>111</v>
      </c>
      <c r="C136" s="2" t="s">
        <v>539</v>
      </c>
      <c r="D136" s="2" t="s">
        <v>344</v>
      </c>
      <c r="E136" s="2" t="s">
        <v>44</v>
      </c>
      <c r="F136" s="2" t="s">
        <v>17</v>
      </c>
      <c r="G136" s="2" t="s">
        <v>96</v>
      </c>
      <c r="H136" s="2">
        <v>1.0</v>
      </c>
      <c r="I136" s="2" t="s">
        <v>73</v>
      </c>
      <c r="J136" s="2" t="s">
        <v>73</v>
      </c>
      <c r="K136" s="2" t="s">
        <v>118</v>
      </c>
    </row>
    <row r="137" ht="15.75" hidden="1" customHeight="1">
      <c r="A137" s="2" t="s">
        <v>540</v>
      </c>
      <c r="B137" s="2" t="s">
        <v>111</v>
      </c>
      <c r="C137" s="2" t="s">
        <v>541</v>
      </c>
      <c r="D137" s="2" t="s">
        <v>542</v>
      </c>
      <c r="E137" s="2" t="s">
        <v>40</v>
      </c>
      <c r="F137" s="2" t="s">
        <v>17</v>
      </c>
      <c r="G137" s="2" t="s">
        <v>99</v>
      </c>
      <c r="H137" s="2">
        <v>2.0</v>
      </c>
      <c r="I137" s="2" t="s">
        <v>73</v>
      </c>
      <c r="J137" s="2" t="s">
        <v>543</v>
      </c>
      <c r="K137" s="2" t="s">
        <v>349</v>
      </c>
    </row>
    <row r="138" ht="15.75" hidden="1" customHeight="1">
      <c r="A138" s="2" t="s">
        <v>544</v>
      </c>
      <c r="B138" s="2" t="s">
        <v>111</v>
      </c>
      <c r="C138" s="2" t="s">
        <v>545</v>
      </c>
      <c r="D138" s="2" t="s">
        <v>546</v>
      </c>
      <c r="E138" s="2" t="s">
        <v>48</v>
      </c>
      <c r="F138" s="2" t="s">
        <v>17</v>
      </c>
      <c r="G138" s="2" t="s">
        <v>99</v>
      </c>
      <c r="H138" s="2">
        <v>2.0</v>
      </c>
      <c r="I138" s="2" t="s">
        <v>73</v>
      </c>
      <c r="J138" s="2" t="s">
        <v>543</v>
      </c>
      <c r="K138" s="2" t="s">
        <v>353</v>
      </c>
    </row>
    <row r="139" ht="15.75" hidden="1" customHeight="1">
      <c r="A139" s="2" t="s">
        <v>547</v>
      </c>
      <c r="B139" s="2" t="s">
        <v>111</v>
      </c>
      <c r="C139" s="2" t="s">
        <v>548</v>
      </c>
      <c r="D139" s="2" t="s">
        <v>549</v>
      </c>
      <c r="E139" s="2" t="s">
        <v>44</v>
      </c>
      <c r="F139" s="2" t="s">
        <v>17</v>
      </c>
      <c r="G139" s="2" t="s">
        <v>99</v>
      </c>
      <c r="H139" s="2">
        <v>2.0</v>
      </c>
      <c r="I139" s="2" t="s">
        <v>550</v>
      </c>
      <c r="J139" s="2" t="s">
        <v>551</v>
      </c>
      <c r="K139" s="2" t="s">
        <v>353</v>
      </c>
    </row>
    <row r="140" ht="15.75" hidden="1" customHeight="1">
      <c r="A140" s="2" t="s">
        <v>552</v>
      </c>
      <c r="B140" s="2" t="s">
        <v>111</v>
      </c>
      <c r="C140" s="2" t="s">
        <v>553</v>
      </c>
      <c r="D140" s="2" t="s">
        <v>117</v>
      </c>
      <c r="E140" s="2" t="s">
        <v>40</v>
      </c>
      <c r="F140" s="2" t="s">
        <v>17</v>
      </c>
      <c r="G140" s="2" t="s">
        <v>96</v>
      </c>
      <c r="H140" s="2">
        <v>2.0</v>
      </c>
      <c r="I140" s="2" t="s">
        <v>551</v>
      </c>
      <c r="J140" s="2" t="s">
        <v>554</v>
      </c>
      <c r="K140" s="2" t="s">
        <v>118</v>
      </c>
    </row>
    <row r="141" ht="15.75" hidden="1" customHeight="1">
      <c r="A141" s="2" t="s">
        <v>555</v>
      </c>
      <c r="B141" s="2" t="s">
        <v>111</v>
      </c>
      <c r="C141" s="2" t="s">
        <v>556</v>
      </c>
      <c r="D141" s="2" t="s">
        <v>557</v>
      </c>
      <c r="E141" s="2" t="s">
        <v>40</v>
      </c>
      <c r="F141" s="2" t="s">
        <v>17</v>
      </c>
      <c r="G141" s="2" t="s">
        <v>99</v>
      </c>
      <c r="H141" s="2">
        <v>1.0</v>
      </c>
      <c r="I141" s="2" t="s">
        <v>20</v>
      </c>
      <c r="J141" s="2" t="s">
        <v>20</v>
      </c>
      <c r="K141" s="2" t="s">
        <v>349</v>
      </c>
    </row>
    <row r="142" ht="15.75" hidden="1" customHeight="1">
      <c r="A142" s="2" t="s">
        <v>558</v>
      </c>
      <c r="B142" s="2" t="s">
        <v>111</v>
      </c>
      <c r="C142" s="2" t="s">
        <v>559</v>
      </c>
      <c r="D142" s="2" t="s">
        <v>560</v>
      </c>
      <c r="E142" s="2" t="s">
        <v>44</v>
      </c>
      <c r="F142" s="2" t="s">
        <v>22</v>
      </c>
      <c r="G142" s="2" t="s">
        <v>85</v>
      </c>
      <c r="H142" s="2">
        <v>2.0</v>
      </c>
      <c r="I142" s="2" t="s">
        <v>24</v>
      </c>
      <c r="J142" s="2" t="s">
        <v>24</v>
      </c>
      <c r="K142" s="2" t="s">
        <v>561</v>
      </c>
    </row>
    <row r="143" ht="15.75" hidden="1" customHeight="1">
      <c r="A143" s="2" t="s">
        <v>562</v>
      </c>
      <c r="B143" s="2" t="s">
        <v>111</v>
      </c>
      <c r="C143" s="2" t="s">
        <v>563</v>
      </c>
      <c r="D143" s="2" t="s">
        <v>564</v>
      </c>
      <c r="E143" s="2" t="s">
        <v>48</v>
      </c>
      <c r="F143" s="2" t="s">
        <v>22</v>
      </c>
      <c r="G143" s="2" t="s">
        <v>85</v>
      </c>
      <c r="H143" s="2">
        <v>2.0</v>
      </c>
      <c r="I143" s="2" t="s">
        <v>24</v>
      </c>
      <c r="J143" s="2" t="s">
        <v>565</v>
      </c>
      <c r="K143" s="2" t="s">
        <v>566</v>
      </c>
    </row>
    <row r="144" ht="15.75" hidden="1" customHeight="1">
      <c r="A144" s="2" t="s">
        <v>567</v>
      </c>
      <c r="B144" s="2" t="s">
        <v>111</v>
      </c>
      <c r="C144" s="2" t="s">
        <v>568</v>
      </c>
      <c r="D144" s="2" t="s">
        <v>569</v>
      </c>
      <c r="E144" s="2" t="s">
        <v>44</v>
      </c>
      <c r="F144" s="2" t="s">
        <v>22</v>
      </c>
      <c r="G144" s="2" t="s">
        <v>85</v>
      </c>
      <c r="H144" s="2">
        <v>3.0</v>
      </c>
      <c r="I144" s="2" t="s">
        <v>24</v>
      </c>
      <c r="J144" s="2" t="s">
        <v>565</v>
      </c>
      <c r="K144" s="2" t="s">
        <v>561</v>
      </c>
    </row>
    <row r="145" ht="15.75" hidden="1" customHeight="1">
      <c r="A145" s="2" t="s">
        <v>570</v>
      </c>
      <c r="B145" s="2" t="s">
        <v>111</v>
      </c>
      <c r="C145" s="2" t="s">
        <v>571</v>
      </c>
      <c r="D145" s="2" t="s">
        <v>572</v>
      </c>
      <c r="E145" s="2" t="s">
        <v>42</v>
      </c>
      <c r="F145" s="2" t="s">
        <v>22</v>
      </c>
      <c r="G145" s="2" t="s">
        <v>89</v>
      </c>
      <c r="H145" s="2">
        <v>5.0</v>
      </c>
      <c r="I145" s="2" t="s">
        <v>24</v>
      </c>
      <c r="J145" s="2" t="s">
        <v>565</v>
      </c>
      <c r="K145" s="2" t="s">
        <v>561</v>
      </c>
    </row>
    <row r="146" ht="15.75" customHeight="1">
      <c r="A146" s="2" t="s">
        <v>573</v>
      </c>
      <c r="B146" s="2" t="s">
        <v>111</v>
      </c>
      <c r="C146" s="2" t="s">
        <v>574</v>
      </c>
      <c r="D146" s="2" t="s">
        <v>575</v>
      </c>
      <c r="E146" s="2" t="s">
        <v>46</v>
      </c>
      <c r="F146" s="2" t="s">
        <v>22</v>
      </c>
      <c r="G146" s="2" t="s">
        <v>89</v>
      </c>
      <c r="H146" s="2">
        <v>3.0</v>
      </c>
      <c r="I146" s="2" t="s">
        <v>24</v>
      </c>
      <c r="J146" s="2" t="s">
        <v>565</v>
      </c>
      <c r="K146" s="2" t="s">
        <v>566</v>
      </c>
    </row>
    <row r="147" ht="15.75" hidden="1" customHeight="1">
      <c r="A147" s="2" t="s">
        <v>576</v>
      </c>
      <c r="B147" s="2" t="s">
        <v>111</v>
      </c>
      <c r="C147" s="2" t="s">
        <v>577</v>
      </c>
      <c r="D147" s="2" t="s">
        <v>578</v>
      </c>
      <c r="E147" s="2" t="s">
        <v>40</v>
      </c>
      <c r="F147" s="2" t="s">
        <v>22</v>
      </c>
      <c r="G147" s="2" t="s">
        <v>93</v>
      </c>
      <c r="H147" s="2">
        <v>5.0</v>
      </c>
      <c r="I147" s="2" t="s">
        <v>24</v>
      </c>
      <c r="J147" s="2" t="s">
        <v>579</v>
      </c>
      <c r="K147" s="2" t="s">
        <v>163</v>
      </c>
    </row>
    <row r="148" ht="15.75" hidden="1" customHeight="1">
      <c r="A148" s="2" t="s">
        <v>580</v>
      </c>
      <c r="B148" s="2" t="s">
        <v>111</v>
      </c>
      <c r="C148" s="2" t="s">
        <v>581</v>
      </c>
      <c r="D148" s="2" t="s">
        <v>582</v>
      </c>
      <c r="E148" s="2" t="s">
        <v>44</v>
      </c>
      <c r="F148" s="2" t="s">
        <v>22</v>
      </c>
      <c r="G148" s="2" t="s">
        <v>85</v>
      </c>
      <c r="H148" s="2">
        <v>3.0</v>
      </c>
      <c r="I148" s="2" t="s">
        <v>565</v>
      </c>
      <c r="J148" s="2" t="s">
        <v>583</v>
      </c>
      <c r="K148" s="2" t="s">
        <v>561</v>
      </c>
    </row>
    <row r="149" ht="15.75" hidden="1" customHeight="1">
      <c r="A149" s="2" t="s">
        <v>584</v>
      </c>
      <c r="B149" s="2" t="s">
        <v>111</v>
      </c>
      <c r="C149" s="2" t="s">
        <v>585</v>
      </c>
      <c r="D149" s="2" t="s">
        <v>586</v>
      </c>
      <c r="E149" s="2" t="s">
        <v>48</v>
      </c>
      <c r="F149" s="2" t="s">
        <v>22</v>
      </c>
      <c r="G149" s="2" t="s">
        <v>85</v>
      </c>
      <c r="H149" s="2">
        <v>2.0</v>
      </c>
      <c r="I149" s="2" t="s">
        <v>565</v>
      </c>
      <c r="J149" s="2" t="s">
        <v>583</v>
      </c>
      <c r="K149" s="2" t="s">
        <v>566</v>
      </c>
    </row>
    <row r="150" ht="15.75" hidden="1" customHeight="1">
      <c r="A150" s="2" t="s">
        <v>587</v>
      </c>
      <c r="B150" s="2" t="s">
        <v>111</v>
      </c>
      <c r="C150" s="2" t="s">
        <v>588</v>
      </c>
      <c r="D150" s="2" t="s">
        <v>589</v>
      </c>
      <c r="E150" s="2" t="s">
        <v>42</v>
      </c>
      <c r="F150" s="2" t="s">
        <v>22</v>
      </c>
      <c r="G150" s="2" t="s">
        <v>89</v>
      </c>
      <c r="H150" s="2">
        <v>3.0</v>
      </c>
      <c r="I150" s="2" t="s">
        <v>565</v>
      </c>
      <c r="J150" s="2" t="s">
        <v>583</v>
      </c>
      <c r="K150" s="2" t="s">
        <v>561</v>
      </c>
    </row>
    <row r="151" ht="15.75" customHeight="1">
      <c r="A151" s="2" t="s">
        <v>590</v>
      </c>
      <c r="B151" s="2" t="s">
        <v>111</v>
      </c>
      <c r="C151" s="2" t="s">
        <v>591</v>
      </c>
      <c r="D151" s="2" t="s">
        <v>592</v>
      </c>
      <c r="E151" s="2" t="s">
        <v>46</v>
      </c>
      <c r="F151" s="2" t="s">
        <v>22</v>
      </c>
      <c r="G151" s="2" t="s">
        <v>89</v>
      </c>
      <c r="H151" s="2">
        <v>3.0</v>
      </c>
      <c r="I151" s="2" t="s">
        <v>565</v>
      </c>
      <c r="J151" s="2" t="s">
        <v>583</v>
      </c>
      <c r="K151" s="2" t="s">
        <v>566</v>
      </c>
    </row>
    <row r="152" ht="15.75" hidden="1" customHeight="1">
      <c r="A152" s="2" t="s">
        <v>593</v>
      </c>
      <c r="B152" s="2" t="s">
        <v>111</v>
      </c>
      <c r="C152" s="2" t="s">
        <v>594</v>
      </c>
      <c r="D152" s="2" t="s">
        <v>117</v>
      </c>
      <c r="E152" s="2" t="s">
        <v>40</v>
      </c>
      <c r="F152" s="2" t="s">
        <v>22</v>
      </c>
      <c r="G152" s="2" t="s">
        <v>96</v>
      </c>
      <c r="H152" s="2">
        <v>2.0</v>
      </c>
      <c r="I152" s="2" t="s">
        <v>565</v>
      </c>
      <c r="J152" s="2" t="s">
        <v>583</v>
      </c>
      <c r="K152" s="2" t="s">
        <v>118</v>
      </c>
    </row>
    <row r="153" ht="15.75" hidden="1" customHeight="1">
      <c r="A153" s="2" t="s">
        <v>595</v>
      </c>
      <c r="B153" s="2" t="s">
        <v>111</v>
      </c>
      <c r="C153" s="2" t="s">
        <v>596</v>
      </c>
      <c r="D153" s="2" t="s">
        <v>597</v>
      </c>
      <c r="E153" s="2" t="s">
        <v>42</v>
      </c>
      <c r="F153" s="2" t="s">
        <v>22</v>
      </c>
      <c r="G153" s="2" t="s">
        <v>85</v>
      </c>
      <c r="H153" s="2">
        <v>3.0</v>
      </c>
      <c r="I153" s="2" t="s">
        <v>583</v>
      </c>
      <c r="J153" s="2" t="s">
        <v>579</v>
      </c>
      <c r="K153" s="2" t="s">
        <v>561</v>
      </c>
    </row>
    <row r="154" ht="15.75" hidden="1" customHeight="1">
      <c r="A154" s="2" t="s">
        <v>598</v>
      </c>
      <c r="B154" s="2" t="s">
        <v>111</v>
      </c>
      <c r="C154" s="2" t="s">
        <v>599</v>
      </c>
      <c r="D154" s="2" t="s">
        <v>600</v>
      </c>
      <c r="E154" s="2" t="s">
        <v>44</v>
      </c>
      <c r="F154" s="2" t="s">
        <v>22</v>
      </c>
      <c r="G154" s="2" t="s">
        <v>85</v>
      </c>
      <c r="H154" s="2">
        <v>2.0</v>
      </c>
      <c r="I154" s="2" t="s">
        <v>583</v>
      </c>
      <c r="J154" s="2" t="s">
        <v>579</v>
      </c>
      <c r="K154" s="2" t="s">
        <v>561</v>
      </c>
    </row>
    <row r="155" ht="15.75" hidden="1" customHeight="1">
      <c r="A155" s="2" t="s">
        <v>601</v>
      </c>
      <c r="B155" s="2" t="s">
        <v>111</v>
      </c>
      <c r="C155" s="2" t="s">
        <v>602</v>
      </c>
      <c r="D155" s="2" t="s">
        <v>603</v>
      </c>
      <c r="E155" s="2" t="s">
        <v>48</v>
      </c>
      <c r="F155" s="2" t="s">
        <v>22</v>
      </c>
      <c r="G155" s="2" t="s">
        <v>85</v>
      </c>
      <c r="H155" s="2">
        <v>2.0</v>
      </c>
      <c r="I155" s="2" t="s">
        <v>583</v>
      </c>
      <c r="J155" s="2" t="s">
        <v>604</v>
      </c>
      <c r="K155" s="2" t="s">
        <v>566</v>
      </c>
    </row>
    <row r="156" ht="15.75" customHeight="1">
      <c r="A156" s="2" t="s">
        <v>605</v>
      </c>
      <c r="B156" s="2" t="s">
        <v>111</v>
      </c>
      <c r="C156" s="2" t="s">
        <v>606</v>
      </c>
      <c r="D156" s="2" t="s">
        <v>607</v>
      </c>
      <c r="E156" s="2" t="s">
        <v>46</v>
      </c>
      <c r="F156" s="2" t="s">
        <v>22</v>
      </c>
      <c r="G156" s="2" t="s">
        <v>89</v>
      </c>
      <c r="H156" s="2">
        <v>5.0</v>
      </c>
      <c r="I156" s="2" t="s">
        <v>583</v>
      </c>
      <c r="J156" s="2" t="s">
        <v>604</v>
      </c>
      <c r="K156" s="2" t="s">
        <v>566</v>
      </c>
    </row>
    <row r="157" ht="15.75" hidden="1" customHeight="1">
      <c r="A157" s="2" t="s">
        <v>608</v>
      </c>
      <c r="B157" s="2" t="s">
        <v>111</v>
      </c>
      <c r="C157" s="2" t="s">
        <v>609</v>
      </c>
      <c r="D157" s="2" t="s">
        <v>610</v>
      </c>
      <c r="E157" s="2" t="s">
        <v>44</v>
      </c>
      <c r="F157" s="2" t="s">
        <v>22</v>
      </c>
      <c r="G157" s="2" t="s">
        <v>85</v>
      </c>
      <c r="H157" s="2">
        <v>1.0</v>
      </c>
      <c r="I157" s="2" t="s">
        <v>579</v>
      </c>
      <c r="J157" s="2" t="s">
        <v>579</v>
      </c>
      <c r="K157" s="2" t="s">
        <v>561</v>
      </c>
    </row>
    <row r="158" ht="15.75" hidden="1" customHeight="1">
      <c r="A158" s="2" t="s">
        <v>611</v>
      </c>
      <c r="B158" s="2" t="s">
        <v>111</v>
      </c>
      <c r="C158" s="2" t="s">
        <v>612</v>
      </c>
      <c r="D158" s="2" t="s">
        <v>613</v>
      </c>
      <c r="E158" s="2" t="s">
        <v>44</v>
      </c>
      <c r="F158" s="2" t="s">
        <v>22</v>
      </c>
      <c r="G158" s="2" t="s">
        <v>85</v>
      </c>
      <c r="H158" s="2">
        <v>2.0</v>
      </c>
      <c r="I158" s="2" t="s">
        <v>579</v>
      </c>
      <c r="J158" s="2" t="s">
        <v>604</v>
      </c>
      <c r="K158" s="2" t="s">
        <v>561</v>
      </c>
    </row>
    <row r="159" ht="15.75" hidden="1" customHeight="1">
      <c r="A159" s="2" t="s">
        <v>614</v>
      </c>
      <c r="B159" s="2" t="s">
        <v>111</v>
      </c>
      <c r="C159" s="2" t="s">
        <v>615</v>
      </c>
      <c r="D159" s="2" t="s">
        <v>616</v>
      </c>
      <c r="E159" s="2" t="s">
        <v>42</v>
      </c>
      <c r="F159" s="2" t="s">
        <v>22</v>
      </c>
      <c r="G159" s="2" t="s">
        <v>85</v>
      </c>
      <c r="H159" s="2">
        <v>5.0</v>
      </c>
      <c r="I159" s="2" t="s">
        <v>579</v>
      </c>
      <c r="J159" s="2" t="s">
        <v>617</v>
      </c>
      <c r="K159" s="2" t="s">
        <v>561</v>
      </c>
    </row>
    <row r="160" ht="15.75" hidden="1" customHeight="1">
      <c r="A160" s="2" t="s">
        <v>618</v>
      </c>
      <c r="B160" s="2" t="s">
        <v>111</v>
      </c>
      <c r="C160" s="2" t="s">
        <v>619</v>
      </c>
      <c r="D160" s="2" t="s">
        <v>620</v>
      </c>
      <c r="E160" s="2" t="s">
        <v>40</v>
      </c>
      <c r="F160" s="2" t="s">
        <v>22</v>
      </c>
      <c r="G160" s="2" t="s">
        <v>93</v>
      </c>
      <c r="H160" s="2">
        <v>3.0</v>
      </c>
      <c r="I160" s="2" t="s">
        <v>579</v>
      </c>
      <c r="J160" s="2" t="s">
        <v>617</v>
      </c>
      <c r="K160" s="2" t="s">
        <v>163</v>
      </c>
    </row>
    <row r="161" ht="15.75" hidden="1" customHeight="1">
      <c r="A161" s="2" t="s">
        <v>621</v>
      </c>
      <c r="B161" s="2" t="s">
        <v>111</v>
      </c>
      <c r="C161" s="2" t="s">
        <v>622</v>
      </c>
      <c r="D161" s="2" t="s">
        <v>623</v>
      </c>
      <c r="E161" s="2" t="s">
        <v>44</v>
      </c>
      <c r="F161" s="2" t="s">
        <v>22</v>
      </c>
      <c r="G161" s="2" t="s">
        <v>85</v>
      </c>
      <c r="H161" s="2">
        <v>2.0</v>
      </c>
      <c r="I161" s="2" t="s">
        <v>604</v>
      </c>
      <c r="J161" s="2" t="s">
        <v>604</v>
      </c>
      <c r="K161" s="2" t="s">
        <v>561</v>
      </c>
    </row>
    <row r="162" ht="15.75" hidden="1" customHeight="1">
      <c r="A162" s="2" t="s">
        <v>624</v>
      </c>
      <c r="B162" s="2" t="s">
        <v>111</v>
      </c>
      <c r="C162" s="2" t="s">
        <v>625</v>
      </c>
      <c r="D162" s="2" t="s">
        <v>626</v>
      </c>
      <c r="E162" s="2" t="s">
        <v>48</v>
      </c>
      <c r="F162" s="2" t="s">
        <v>22</v>
      </c>
      <c r="G162" s="2" t="s">
        <v>85</v>
      </c>
      <c r="H162" s="2">
        <v>2.0</v>
      </c>
      <c r="I162" s="2" t="s">
        <v>604</v>
      </c>
      <c r="J162" s="2" t="s">
        <v>617</v>
      </c>
      <c r="K162" s="2" t="s">
        <v>566</v>
      </c>
    </row>
    <row r="163" ht="15.75" customHeight="1">
      <c r="A163" s="2" t="s">
        <v>627</v>
      </c>
      <c r="B163" s="2" t="s">
        <v>111</v>
      </c>
      <c r="C163" s="2" t="s">
        <v>628</v>
      </c>
      <c r="D163" s="2" t="s">
        <v>629</v>
      </c>
      <c r="E163" s="2" t="s">
        <v>46</v>
      </c>
      <c r="F163" s="2" t="s">
        <v>22</v>
      </c>
      <c r="G163" s="2" t="s">
        <v>89</v>
      </c>
      <c r="H163" s="2">
        <v>2.0</v>
      </c>
      <c r="I163" s="2" t="s">
        <v>604</v>
      </c>
      <c r="J163" s="2" t="s">
        <v>617</v>
      </c>
      <c r="K163" s="2" t="s">
        <v>566</v>
      </c>
    </row>
    <row r="164" ht="15.75" hidden="1" customHeight="1">
      <c r="A164" s="2" t="s">
        <v>630</v>
      </c>
      <c r="B164" s="2" t="s">
        <v>111</v>
      </c>
      <c r="C164" s="2" t="s">
        <v>631</v>
      </c>
      <c r="D164" s="2" t="s">
        <v>632</v>
      </c>
      <c r="E164" s="2" t="s">
        <v>44</v>
      </c>
      <c r="F164" s="2" t="s">
        <v>22</v>
      </c>
      <c r="G164" s="2" t="s">
        <v>89</v>
      </c>
      <c r="H164" s="2">
        <v>5.0</v>
      </c>
      <c r="I164" s="2" t="s">
        <v>604</v>
      </c>
      <c r="J164" s="2" t="s">
        <v>633</v>
      </c>
      <c r="K164" s="2" t="s">
        <v>561</v>
      </c>
    </row>
    <row r="165" ht="15.75" hidden="1" customHeight="1">
      <c r="A165" s="2" t="s">
        <v>634</v>
      </c>
      <c r="B165" s="2" t="s">
        <v>111</v>
      </c>
      <c r="C165" s="2" t="s">
        <v>635</v>
      </c>
      <c r="D165" s="2" t="s">
        <v>636</v>
      </c>
      <c r="E165" s="2" t="s">
        <v>48</v>
      </c>
      <c r="F165" s="2" t="s">
        <v>22</v>
      </c>
      <c r="G165" s="2" t="s">
        <v>85</v>
      </c>
      <c r="H165" s="2">
        <v>1.0</v>
      </c>
      <c r="I165" s="2" t="s">
        <v>617</v>
      </c>
      <c r="J165" s="2" t="s">
        <v>633</v>
      </c>
      <c r="K165" s="2" t="s">
        <v>566</v>
      </c>
    </row>
    <row r="166" ht="15.75" hidden="1" customHeight="1">
      <c r="A166" s="2" t="s">
        <v>637</v>
      </c>
      <c r="B166" s="2" t="s">
        <v>111</v>
      </c>
      <c r="C166" s="2" t="s">
        <v>638</v>
      </c>
      <c r="D166" s="2" t="s">
        <v>639</v>
      </c>
      <c r="E166" s="2" t="s">
        <v>42</v>
      </c>
      <c r="F166" s="2" t="s">
        <v>22</v>
      </c>
      <c r="G166" s="2" t="s">
        <v>85</v>
      </c>
      <c r="H166" s="2">
        <v>2.0</v>
      </c>
      <c r="I166" s="2" t="s">
        <v>617</v>
      </c>
      <c r="J166" s="2" t="s">
        <v>633</v>
      </c>
      <c r="K166" s="2" t="s">
        <v>561</v>
      </c>
    </row>
    <row r="167" ht="15.75" customHeight="1">
      <c r="A167" s="2" t="s">
        <v>640</v>
      </c>
      <c r="B167" s="2" t="s">
        <v>111</v>
      </c>
      <c r="C167" s="2" t="s">
        <v>641</v>
      </c>
      <c r="D167" s="2" t="s">
        <v>642</v>
      </c>
      <c r="E167" s="2" t="s">
        <v>46</v>
      </c>
      <c r="F167" s="2" t="s">
        <v>22</v>
      </c>
      <c r="G167" s="2" t="s">
        <v>85</v>
      </c>
      <c r="H167" s="2">
        <v>3.0</v>
      </c>
      <c r="I167" s="2" t="s">
        <v>617</v>
      </c>
      <c r="J167" s="2" t="s">
        <v>633</v>
      </c>
      <c r="K167" s="2" t="s">
        <v>566</v>
      </c>
    </row>
    <row r="168" ht="15.75" hidden="1" customHeight="1">
      <c r="A168" s="2" t="s">
        <v>643</v>
      </c>
      <c r="B168" s="2" t="s">
        <v>111</v>
      </c>
      <c r="C168" s="2" t="s">
        <v>644</v>
      </c>
      <c r="D168" s="2" t="s">
        <v>645</v>
      </c>
      <c r="E168" s="2" t="s">
        <v>40</v>
      </c>
      <c r="F168" s="2" t="s">
        <v>22</v>
      </c>
      <c r="G168" s="2" t="s">
        <v>93</v>
      </c>
      <c r="H168" s="2">
        <v>3.0</v>
      </c>
      <c r="I168" s="2" t="s">
        <v>617</v>
      </c>
      <c r="J168" s="2" t="s">
        <v>92</v>
      </c>
      <c r="K168" s="2" t="s">
        <v>163</v>
      </c>
    </row>
    <row r="169" ht="15.75" customHeight="1">
      <c r="A169" s="2" t="s">
        <v>646</v>
      </c>
      <c r="B169" s="2" t="s">
        <v>111</v>
      </c>
      <c r="C169" s="2" t="s">
        <v>647</v>
      </c>
      <c r="D169" s="2" t="s">
        <v>648</v>
      </c>
      <c r="E169" s="2" t="s">
        <v>46</v>
      </c>
      <c r="F169" s="2" t="s">
        <v>22</v>
      </c>
      <c r="G169" s="2" t="s">
        <v>85</v>
      </c>
      <c r="H169" s="2">
        <v>3.0</v>
      </c>
      <c r="I169" s="2" t="s">
        <v>633</v>
      </c>
      <c r="J169" s="2" t="s">
        <v>92</v>
      </c>
      <c r="K169" s="2" t="s">
        <v>566</v>
      </c>
    </row>
    <row r="170" ht="15.75" hidden="1" customHeight="1">
      <c r="A170" s="2" t="s">
        <v>649</v>
      </c>
      <c r="B170" s="2" t="s">
        <v>111</v>
      </c>
      <c r="C170" s="2" t="s">
        <v>650</v>
      </c>
      <c r="D170" s="2" t="s">
        <v>651</v>
      </c>
      <c r="E170" s="2" t="s">
        <v>42</v>
      </c>
      <c r="F170" s="2" t="s">
        <v>22</v>
      </c>
      <c r="G170" s="2" t="s">
        <v>85</v>
      </c>
      <c r="H170" s="2">
        <v>3.0</v>
      </c>
      <c r="I170" s="2" t="s">
        <v>633</v>
      </c>
      <c r="J170" s="2" t="s">
        <v>92</v>
      </c>
      <c r="K170" s="2" t="s">
        <v>561</v>
      </c>
    </row>
    <row r="171" ht="15.75" hidden="1" customHeight="1">
      <c r="A171" s="2" t="s">
        <v>652</v>
      </c>
      <c r="B171" s="2" t="s">
        <v>111</v>
      </c>
      <c r="C171" s="2" t="s">
        <v>653</v>
      </c>
      <c r="D171" s="2" t="s">
        <v>654</v>
      </c>
      <c r="E171" s="2" t="s">
        <v>48</v>
      </c>
      <c r="F171" s="2" t="s">
        <v>22</v>
      </c>
      <c r="G171" s="2" t="s">
        <v>85</v>
      </c>
      <c r="H171" s="2">
        <v>2.0</v>
      </c>
      <c r="I171" s="2" t="s">
        <v>633</v>
      </c>
      <c r="J171" s="2" t="s">
        <v>92</v>
      </c>
      <c r="K171" s="2" t="s">
        <v>566</v>
      </c>
    </row>
    <row r="172" ht="15.75" hidden="1" customHeight="1">
      <c r="A172" s="2" t="s">
        <v>655</v>
      </c>
      <c r="B172" s="2" t="s">
        <v>111</v>
      </c>
      <c r="C172" s="2" t="s">
        <v>656</v>
      </c>
      <c r="D172" s="2" t="s">
        <v>657</v>
      </c>
      <c r="E172" s="2" t="s">
        <v>44</v>
      </c>
      <c r="F172" s="2" t="s">
        <v>22</v>
      </c>
      <c r="G172" s="2" t="s">
        <v>89</v>
      </c>
      <c r="H172" s="2">
        <v>2.0</v>
      </c>
      <c r="I172" s="2" t="s">
        <v>633</v>
      </c>
      <c r="J172" s="2" t="s">
        <v>92</v>
      </c>
      <c r="K172" s="2" t="s">
        <v>561</v>
      </c>
    </row>
    <row r="173" ht="15.75" hidden="1" customHeight="1">
      <c r="A173" s="2" t="s">
        <v>658</v>
      </c>
      <c r="B173" s="2" t="s">
        <v>111</v>
      </c>
      <c r="C173" s="2" t="s">
        <v>659</v>
      </c>
      <c r="D173" s="2" t="s">
        <v>660</v>
      </c>
      <c r="E173" s="2" t="s">
        <v>48</v>
      </c>
      <c r="F173" s="2" t="s">
        <v>22</v>
      </c>
      <c r="G173" s="2" t="s">
        <v>85</v>
      </c>
      <c r="H173" s="2">
        <v>2.0</v>
      </c>
      <c r="I173" s="2" t="s">
        <v>92</v>
      </c>
      <c r="J173" s="2" t="s">
        <v>88</v>
      </c>
      <c r="K173" s="2" t="s">
        <v>566</v>
      </c>
    </row>
    <row r="174" ht="15.75" customHeight="1">
      <c r="A174" s="2" t="s">
        <v>661</v>
      </c>
      <c r="B174" s="2" t="s">
        <v>111</v>
      </c>
      <c r="C174" s="2" t="s">
        <v>662</v>
      </c>
      <c r="D174" s="2" t="s">
        <v>663</v>
      </c>
      <c r="E174" s="2" t="s">
        <v>46</v>
      </c>
      <c r="F174" s="2" t="s">
        <v>22</v>
      </c>
      <c r="G174" s="2" t="s">
        <v>85</v>
      </c>
      <c r="H174" s="2">
        <v>2.0</v>
      </c>
      <c r="I174" s="2" t="s">
        <v>92</v>
      </c>
      <c r="J174" s="2" t="s">
        <v>88</v>
      </c>
      <c r="K174" s="2" t="s">
        <v>566</v>
      </c>
    </row>
    <row r="175" ht="15.75" customHeight="1">
      <c r="A175" s="2" t="s">
        <v>664</v>
      </c>
      <c r="B175" s="2" t="s">
        <v>111</v>
      </c>
      <c r="C175" s="2" t="s">
        <v>665</v>
      </c>
      <c r="D175" s="2" t="s">
        <v>666</v>
      </c>
      <c r="E175" s="2" t="s">
        <v>46</v>
      </c>
      <c r="F175" s="2" t="s">
        <v>22</v>
      </c>
      <c r="G175" s="2" t="s">
        <v>85</v>
      </c>
      <c r="H175" s="2">
        <v>2.0</v>
      </c>
      <c r="I175" s="2" t="s">
        <v>88</v>
      </c>
      <c r="J175" s="2" t="s">
        <v>88</v>
      </c>
      <c r="K175" s="2" t="s">
        <v>566</v>
      </c>
    </row>
    <row r="176" ht="15.75" hidden="1" customHeight="1">
      <c r="A176" s="2" t="s">
        <v>667</v>
      </c>
      <c r="B176" s="2" t="s">
        <v>111</v>
      </c>
      <c r="C176" s="2" t="s">
        <v>668</v>
      </c>
      <c r="D176" s="2" t="s">
        <v>344</v>
      </c>
      <c r="E176" s="2" t="s">
        <v>44</v>
      </c>
      <c r="F176" s="2" t="s">
        <v>22</v>
      </c>
      <c r="G176" s="2" t="s">
        <v>96</v>
      </c>
      <c r="H176" s="2">
        <v>1.0</v>
      </c>
      <c r="I176" s="2" t="s">
        <v>88</v>
      </c>
      <c r="J176" s="2" t="s">
        <v>88</v>
      </c>
      <c r="K176" s="2" t="s">
        <v>118</v>
      </c>
    </row>
    <row r="177" ht="15.75" hidden="1" customHeight="1">
      <c r="A177" s="2" t="s">
        <v>669</v>
      </c>
      <c r="B177" s="2" t="s">
        <v>111</v>
      </c>
      <c r="C177" s="2" t="s">
        <v>670</v>
      </c>
      <c r="D177" s="2" t="s">
        <v>671</v>
      </c>
      <c r="E177" s="2" t="s">
        <v>40</v>
      </c>
      <c r="F177" s="2" t="s">
        <v>22</v>
      </c>
      <c r="G177" s="2" t="s">
        <v>99</v>
      </c>
      <c r="H177" s="2">
        <v>2.0</v>
      </c>
      <c r="I177" s="2" t="s">
        <v>88</v>
      </c>
      <c r="J177" s="2" t="s">
        <v>672</v>
      </c>
      <c r="K177" s="2" t="s">
        <v>349</v>
      </c>
    </row>
    <row r="178" ht="15.75" hidden="1" customHeight="1">
      <c r="A178" s="2" t="s">
        <v>673</v>
      </c>
      <c r="B178" s="2" t="s">
        <v>111</v>
      </c>
      <c r="C178" s="2" t="s">
        <v>674</v>
      </c>
      <c r="D178" s="2" t="s">
        <v>675</v>
      </c>
      <c r="E178" s="2" t="s">
        <v>48</v>
      </c>
      <c r="F178" s="2" t="s">
        <v>22</v>
      </c>
      <c r="G178" s="2" t="s">
        <v>99</v>
      </c>
      <c r="H178" s="2">
        <v>2.0</v>
      </c>
      <c r="I178" s="2" t="s">
        <v>88</v>
      </c>
      <c r="J178" s="2" t="s">
        <v>672</v>
      </c>
      <c r="K178" s="2" t="s">
        <v>353</v>
      </c>
    </row>
    <row r="179" ht="15.75" hidden="1" customHeight="1">
      <c r="A179" s="2" t="s">
        <v>676</v>
      </c>
      <c r="B179" s="2" t="s">
        <v>111</v>
      </c>
      <c r="C179" s="2" t="s">
        <v>677</v>
      </c>
      <c r="D179" s="2" t="s">
        <v>678</v>
      </c>
      <c r="E179" s="2" t="s">
        <v>44</v>
      </c>
      <c r="F179" s="2" t="s">
        <v>22</v>
      </c>
      <c r="G179" s="2" t="s">
        <v>99</v>
      </c>
      <c r="H179" s="2">
        <v>2.0</v>
      </c>
      <c r="I179" s="2" t="s">
        <v>679</v>
      </c>
      <c r="J179" s="2" t="s">
        <v>680</v>
      </c>
      <c r="K179" s="2" t="s">
        <v>353</v>
      </c>
    </row>
    <row r="180" ht="15.75" hidden="1" customHeight="1">
      <c r="A180" s="2" t="s">
        <v>681</v>
      </c>
      <c r="B180" s="2" t="s">
        <v>111</v>
      </c>
      <c r="C180" s="2" t="s">
        <v>682</v>
      </c>
      <c r="D180" s="2" t="s">
        <v>683</v>
      </c>
      <c r="E180" s="2" t="s">
        <v>48</v>
      </c>
      <c r="F180" s="2" t="s">
        <v>22</v>
      </c>
      <c r="G180" s="2" t="s">
        <v>99</v>
      </c>
      <c r="H180" s="2">
        <v>3.0</v>
      </c>
      <c r="I180" s="2" t="s">
        <v>679</v>
      </c>
      <c r="J180" s="2" t="s">
        <v>684</v>
      </c>
      <c r="K180" s="2" t="s">
        <v>353</v>
      </c>
    </row>
    <row r="181" ht="15.75" hidden="1" customHeight="1">
      <c r="A181" s="2" t="s">
        <v>685</v>
      </c>
      <c r="B181" s="2" t="s">
        <v>111</v>
      </c>
      <c r="C181" s="2" t="s">
        <v>686</v>
      </c>
      <c r="D181" s="2" t="s">
        <v>687</v>
      </c>
      <c r="E181" s="2" t="s">
        <v>40</v>
      </c>
      <c r="F181" s="2" t="s">
        <v>22</v>
      </c>
      <c r="G181" s="2" t="s">
        <v>99</v>
      </c>
      <c r="H181" s="2">
        <v>1.0</v>
      </c>
      <c r="I181" s="2" t="s">
        <v>25</v>
      </c>
      <c r="J181" s="2" t="s">
        <v>25</v>
      </c>
      <c r="K181" s="2" t="s">
        <v>349</v>
      </c>
    </row>
    <row r="182" ht="15.75" hidden="1" customHeight="1">
      <c r="A182" s="2" t="s">
        <v>688</v>
      </c>
      <c r="B182" s="2" t="s">
        <v>111</v>
      </c>
      <c r="C182" s="2" t="s">
        <v>689</v>
      </c>
      <c r="D182" s="2" t="s">
        <v>689</v>
      </c>
      <c r="E182" s="2" t="s">
        <v>42</v>
      </c>
      <c r="F182" s="2" t="s">
        <v>27</v>
      </c>
      <c r="G182" s="2" t="s">
        <v>99</v>
      </c>
      <c r="H182" s="2">
        <v>3.0</v>
      </c>
      <c r="I182" s="2" t="s">
        <v>690</v>
      </c>
      <c r="J182" s="2" t="s">
        <v>691</v>
      </c>
      <c r="K182" s="2" t="s">
        <v>692</v>
      </c>
    </row>
    <row r="183" ht="15.75" hidden="1" customHeight="1">
      <c r="A183" s="2" t="s">
        <v>693</v>
      </c>
      <c r="B183" s="2" t="s">
        <v>111</v>
      </c>
      <c r="C183" s="2" t="s">
        <v>694</v>
      </c>
      <c r="D183" s="2" t="s">
        <v>694</v>
      </c>
      <c r="E183" s="2" t="s">
        <v>44</v>
      </c>
      <c r="F183" s="2" t="s">
        <v>27</v>
      </c>
      <c r="G183" s="2" t="s">
        <v>99</v>
      </c>
      <c r="H183" s="2">
        <v>3.0</v>
      </c>
      <c r="I183" s="2" t="s">
        <v>690</v>
      </c>
      <c r="J183" s="2" t="s">
        <v>691</v>
      </c>
      <c r="K183" s="2" t="s">
        <v>692</v>
      </c>
    </row>
    <row r="184" ht="15.75" customHeight="1">
      <c r="A184" s="2" t="s">
        <v>695</v>
      </c>
      <c r="B184" s="2" t="s">
        <v>111</v>
      </c>
      <c r="C184" s="2" t="s">
        <v>696</v>
      </c>
      <c r="D184" s="2" t="s">
        <v>696</v>
      </c>
      <c r="E184" s="2" t="s">
        <v>46</v>
      </c>
      <c r="F184" s="2" t="s">
        <v>27</v>
      </c>
      <c r="G184" s="2" t="s">
        <v>99</v>
      </c>
      <c r="H184" s="2">
        <v>3.0</v>
      </c>
      <c r="I184" s="2" t="s">
        <v>690</v>
      </c>
      <c r="J184" s="2" t="s">
        <v>691</v>
      </c>
      <c r="K184" s="2" t="s">
        <v>692</v>
      </c>
    </row>
    <row r="185" ht="15.75" hidden="1" customHeight="1">
      <c r="A185" s="2" t="s">
        <v>697</v>
      </c>
      <c r="B185" s="2" t="s">
        <v>111</v>
      </c>
      <c r="C185" s="2" t="s">
        <v>698</v>
      </c>
      <c r="D185" s="2" t="s">
        <v>698</v>
      </c>
      <c r="E185" s="2" t="s">
        <v>48</v>
      </c>
      <c r="F185" s="2" t="s">
        <v>27</v>
      </c>
      <c r="G185" s="2" t="s">
        <v>99</v>
      </c>
      <c r="H185" s="2">
        <v>2.0</v>
      </c>
      <c r="I185" s="2" t="s">
        <v>690</v>
      </c>
      <c r="J185" s="2" t="s">
        <v>691</v>
      </c>
      <c r="K185" s="2" t="s">
        <v>692</v>
      </c>
    </row>
    <row r="186" ht="15.75" hidden="1" customHeight="1">
      <c r="A186" s="2" t="s">
        <v>699</v>
      </c>
      <c r="B186" s="2" t="s">
        <v>111</v>
      </c>
      <c r="C186" s="2" t="s">
        <v>700</v>
      </c>
      <c r="D186" s="2" t="s">
        <v>700</v>
      </c>
      <c r="E186" s="2" t="s">
        <v>40</v>
      </c>
      <c r="F186" s="2" t="s">
        <v>27</v>
      </c>
      <c r="G186" s="2" t="s">
        <v>99</v>
      </c>
      <c r="H186" s="2">
        <v>2.0</v>
      </c>
      <c r="I186" s="2" t="s">
        <v>690</v>
      </c>
      <c r="J186" s="2" t="s">
        <v>691</v>
      </c>
      <c r="K186" s="2" t="s">
        <v>692</v>
      </c>
    </row>
    <row r="187" ht="15.75" hidden="1" customHeight="1">
      <c r="A187" s="2" t="s">
        <v>701</v>
      </c>
      <c r="B187" s="2" t="s">
        <v>111</v>
      </c>
      <c r="C187" s="2" t="s">
        <v>702</v>
      </c>
      <c r="D187" s="2" t="s">
        <v>703</v>
      </c>
      <c r="E187" s="2" t="s">
        <v>48</v>
      </c>
      <c r="F187" s="2" t="s">
        <v>27</v>
      </c>
      <c r="G187" s="2" t="s">
        <v>99</v>
      </c>
      <c r="H187" s="2">
        <v>3.0</v>
      </c>
      <c r="I187" s="2" t="s">
        <v>704</v>
      </c>
      <c r="J187" s="2" t="s">
        <v>705</v>
      </c>
      <c r="K187" s="2" t="s">
        <v>353</v>
      </c>
    </row>
    <row r="188" ht="15.75" customHeight="1">
      <c r="A188" s="2" t="s">
        <v>706</v>
      </c>
      <c r="B188" s="2" t="s">
        <v>111</v>
      </c>
      <c r="C188" s="2" t="s">
        <v>707</v>
      </c>
      <c r="D188" s="2" t="s">
        <v>707</v>
      </c>
      <c r="E188" s="2" t="s">
        <v>46</v>
      </c>
      <c r="F188" s="2" t="s">
        <v>27</v>
      </c>
      <c r="G188" s="2" t="s">
        <v>99</v>
      </c>
      <c r="H188" s="2">
        <v>2.0</v>
      </c>
      <c r="I188" s="2" t="s">
        <v>708</v>
      </c>
      <c r="J188" s="2" t="s">
        <v>709</v>
      </c>
      <c r="K188" s="2" t="s">
        <v>353</v>
      </c>
    </row>
    <row r="189" ht="15.75" hidden="1" customHeight="1">
      <c r="A189" s="2" t="s">
        <v>710</v>
      </c>
      <c r="B189" s="2" t="s">
        <v>111</v>
      </c>
      <c r="C189" s="2" t="s">
        <v>711</v>
      </c>
      <c r="D189" s="2" t="s">
        <v>712</v>
      </c>
      <c r="E189" s="2" t="s">
        <v>48</v>
      </c>
      <c r="F189" s="2" t="s">
        <v>27</v>
      </c>
      <c r="G189" s="2" t="s">
        <v>96</v>
      </c>
      <c r="H189" s="2">
        <v>3.0</v>
      </c>
      <c r="I189" s="2" t="s">
        <v>709</v>
      </c>
      <c r="J189" s="2" t="s">
        <v>691</v>
      </c>
      <c r="K189" s="2" t="s">
        <v>118</v>
      </c>
    </row>
    <row r="190" ht="15.75" hidden="1" customHeight="1">
      <c r="A190" s="2" t="s">
        <v>713</v>
      </c>
      <c r="B190" s="2" t="s">
        <v>111</v>
      </c>
      <c r="C190" s="2" t="s">
        <v>714</v>
      </c>
      <c r="D190" s="2" t="s">
        <v>715</v>
      </c>
      <c r="E190" s="2" t="s">
        <v>40</v>
      </c>
      <c r="F190" s="2" t="s">
        <v>27</v>
      </c>
      <c r="G190" s="2" t="s">
        <v>99</v>
      </c>
      <c r="H190" s="2">
        <v>2.0</v>
      </c>
      <c r="I190" s="2" t="s">
        <v>716</v>
      </c>
      <c r="J190" s="2" t="s">
        <v>717</v>
      </c>
      <c r="K190" s="2" t="s">
        <v>349</v>
      </c>
    </row>
    <row r="191" ht="15.75" customHeight="1">
      <c r="A191" s="2" t="s">
        <v>718</v>
      </c>
      <c r="B191" s="2" t="s">
        <v>111</v>
      </c>
      <c r="C191" s="2" t="s">
        <v>719</v>
      </c>
      <c r="D191" s="2" t="s">
        <v>719</v>
      </c>
      <c r="E191" s="2" t="s">
        <v>46</v>
      </c>
      <c r="F191" s="2" t="s">
        <v>27</v>
      </c>
      <c r="G191" s="2" t="s">
        <v>99</v>
      </c>
      <c r="H191" s="2">
        <v>2.0</v>
      </c>
      <c r="I191" s="2" t="s">
        <v>717</v>
      </c>
      <c r="J191" s="2" t="s">
        <v>30</v>
      </c>
      <c r="K191" s="2" t="s">
        <v>349</v>
      </c>
    </row>
    <row r="192" ht="15.75" hidden="1" customHeight="1">
      <c r="A192" s="2" t="s">
        <v>720</v>
      </c>
      <c r="B192" s="2" t="s">
        <v>111</v>
      </c>
      <c r="C192" s="2" t="s">
        <v>721</v>
      </c>
      <c r="D192" s="2" t="s">
        <v>117</v>
      </c>
      <c r="E192" s="2" t="s">
        <v>40</v>
      </c>
      <c r="F192" s="2" t="s">
        <v>32</v>
      </c>
      <c r="G192" s="2" t="s">
        <v>96</v>
      </c>
      <c r="H192" s="2">
        <v>5.0</v>
      </c>
      <c r="I192" s="2" t="s">
        <v>34</v>
      </c>
      <c r="J192" s="2" t="s">
        <v>722</v>
      </c>
      <c r="K192" s="2" t="s">
        <v>118</v>
      </c>
    </row>
    <row r="193" ht="15.75" hidden="1" customHeight="1">
      <c r="A193" s="2" t="s">
        <v>723</v>
      </c>
      <c r="B193" s="2" t="s">
        <v>111</v>
      </c>
      <c r="C193" s="2" t="s">
        <v>724</v>
      </c>
      <c r="D193" s="2" t="s">
        <v>724</v>
      </c>
      <c r="E193" s="2" t="s">
        <v>40</v>
      </c>
      <c r="F193" s="2" t="s">
        <v>32</v>
      </c>
      <c r="G193" s="2" t="s">
        <v>96</v>
      </c>
      <c r="H193" s="2">
        <v>2.0</v>
      </c>
      <c r="I193" s="2" t="s">
        <v>725</v>
      </c>
      <c r="J193" s="2" t="s">
        <v>35</v>
      </c>
      <c r="K193" s="2" t="s">
        <v>118</v>
      </c>
    </row>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93">
    <filterColumn colId="4">
      <filters>
        <filter val="Tuấn"/>
      </filters>
    </filterColumn>
  </autoFilter>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7" width="14.0"/>
    <col customWidth="1" min="8" max="8" width="10.0"/>
    <col customWidth="1" min="9" max="26" width="8.71"/>
  </cols>
  <sheetData>
    <row r="1">
      <c r="A1" s="1" t="s">
        <v>37</v>
      </c>
      <c r="B1" s="1" t="s">
        <v>7</v>
      </c>
      <c r="C1" s="1" t="s">
        <v>12</v>
      </c>
      <c r="D1" s="1" t="s">
        <v>17</v>
      </c>
      <c r="E1" s="1" t="s">
        <v>22</v>
      </c>
      <c r="F1" s="1" t="s">
        <v>27</v>
      </c>
      <c r="G1" s="1" t="s">
        <v>32</v>
      </c>
      <c r="H1" s="1" t="s">
        <v>726</v>
      </c>
    </row>
    <row r="2">
      <c r="A2" s="3" t="s">
        <v>40</v>
      </c>
      <c r="B2" s="3">
        <f>SUMIFS(Backlog!$H:$H,Backlog!$E:$E,$A2,Backlog!$F:$F,"ANGI Sprint 0")</f>
        <v>26</v>
      </c>
      <c r="C2" s="3">
        <f>SUMIFS(Backlog!$H:$H,Backlog!$E:$E,$A2,Backlog!$F:$F,"ANGI Sprint 1")</f>
        <v>28</v>
      </c>
      <c r="D2" s="3">
        <f>SUMIFS(Backlog!$H:$H,Backlog!$E:$E,$A2,Backlog!$F:$F,"ANGI Sprint 2")</f>
        <v>20</v>
      </c>
      <c r="E2" s="3">
        <f>SUMIFS(Backlog!$H:$H,Backlog!$E:$E,$A2,Backlog!$F:$F,"ANGI Sprint 3")</f>
        <v>16</v>
      </c>
      <c r="F2" s="3">
        <f>SUMIFS(Backlog!$H:$H,Backlog!$E:$E,$A2,Backlog!$F:$F,"ANGI Sprint 4")</f>
        <v>4</v>
      </c>
      <c r="G2" s="3">
        <f>SUMIFS(Backlog!$H:$H,Backlog!$E:$E,$A2,Backlog!$F:$F,"ANGI Sprint 5")</f>
        <v>7</v>
      </c>
      <c r="H2" s="3">
        <f t="shared" ref="H2:H6" si="1">SUM(B2:G2)</f>
        <v>101</v>
      </c>
    </row>
    <row r="3">
      <c r="A3" s="3" t="s">
        <v>42</v>
      </c>
      <c r="B3" s="3">
        <f>SUMIFS(Backlog!$H:$H,Backlog!$E:$E,$A3,Backlog!$F:$F,"ANGI Sprint 0")</f>
        <v>5</v>
      </c>
      <c r="C3" s="3">
        <f>SUMIFS(Backlog!$H:$H,Backlog!$E:$E,$A3,Backlog!$F:$F,"ANGI Sprint 1")</f>
        <v>32</v>
      </c>
      <c r="D3" s="3">
        <f>SUMIFS(Backlog!$H:$H,Backlog!$E:$E,$A3,Backlog!$F:$F,"ANGI Sprint 2")</f>
        <v>32</v>
      </c>
      <c r="E3" s="3">
        <f>SUMIFS(Backlog!$H:$H,Backlog!$E:$E,$A3,Backlog!$F:$F,"ANGI Sprint 3")</f>
        <v>21</v>
      </c>
      <c r="F3" s="3">
        <f>SUMIFS(Backlog!$H:$H,Backlog!$E:$E,$A3,Backlog!$F:$F,"ANGI Sprint 4")</f>
        <v>3</v>
      </c>
      <c r="G3" s="3">
        <f>SUMIFS(Backlog!$H:$H,Backlog!$E:$E,$A3,Backlog!$F:$F,"ANGI Sprint 5")</f>
        <v>0</v>
      </c>
      <c r="H3" s="3">
        <f t="shared" si="1"/>
        <v>93</v>
      </c>
    </row>
    <row r="4">
      <c r="A4" s="3" t="s">
        <v>44</v>
      </c>
      <c r="B4" s="3">
        <f>SUMIFS(Backlog!$H:$H,Backlog!$E:$E,$A4,Backlog!$F:$F,"ANGI Sprint 0")</f>
        <v>4</v>
      </c>
      <c r="C4" s="3">
        <f>SUMIFS(Backlog!$H:$H,Backlog!$E:$E,$A4,Backlog!$F:$F,"ANGI Sprint 1")</f>
        <v>29</v>
      </c>
      <c r="D4" s="3">
        <f>SUMIFS(Backlog!$H:$H,Backlog!$E:$E,$A4,Backlog!$F:$F,"ANGI Sprint 2")</f>
        <v>32</v>
      </c>
      <c r="E4" s="3">
        <f>SUMIFS(Backlog!$H:$H,Backlog!$E:$E,$A4,Backlog!$F:$F,"ANGI Sprint 3")</f>
        <v>25</v>
      </c>
      <c r="F4" s="3">
        <f>SUMIFS(Backlog!$H:$H,Backlog!$E:$E,$A4,Backlog!$F:$F,"ANGI Sprint 4")</f>
        <v>3</v>
      </c>
      <c r="G4" s="3">
        <f>SUMIFS(Backlog!$H:$H,Backlog!$E:$E,$A4,Backlog!$F:$F,"ANGI Sprint 5")</f>
        <v>0</v>
      </c>
      <c r="H4" s="3">
        <f t="shared" si="1"/>
        <v>93</v>
      </c>
    </row>
    <row r="5">
      <c r="A5" s="3" t="s">
        <v>46</v>
      </c>
      <c r="B5" s="3">
        <f>SUMIFS(Backlog!$H:$H,Backlog!$E:$E,$A5,Backlog!$F:$F,"ANGI Sprint 0")</f>
        <v>5</v>
      </c>
      <c r="C5" s="3">
        <f>SUMIFS(Backlog!$H:$H,Backlog!$E:$E,$A5,Backlog!$F:$F,"ANGI Sprint 1")</f>
        <v>24</v>
      </c>
      <c r="D5" s="3">
        <f>SUMIFS(Backlog!$H:$H,Backlog!$E:$E,$A5,Backlog!$F:$F,"ANGI Sprint 2")</f>
        <v>31</v>
      </c>
      <c r="E5" s="3">
        <f>SUMIFS(Backlog!$H:$H,Backlog!$E:$E,$A5,Backlog!$F:$F,"ANGI Sprint 3")</f>
        <v>23</v>
      </c>
      <c r="F5" s="3">
        <f>SUMIFS(Backlog!$H:$H,Backlog!$E:$E,$A5,Backlog!$F:$F,"ANGI Sprint 4")</f>
        <v>7</v>
      </c>
      <c r="G5" s="3">
        <f>SUMIFS(Backlog!$H:$H,Backlog!$E:$E,$A5,Backlog!$F:$F,"ANGI Sprint 5")</f>
        <v>0</v>
      </c>
      <c r="H5" s="3">
        <f t="shared" si="1"/>
        <v>90</v>
      </c>
    </row>
    <row r="6">
      <c r="A6" s="3" t="s">
        <v>48</v>
      </c>
      <c r="B6" s="3">
        <f>SUMIFS(Backlog!$H:$H,Backlog!$E:$E,$A6,Backlog!$F:$F,"ANGI Sprint 0")</f>
        <v>5</v>
      </c>
      <c r="C6" s="3">
        <f>SUMIFS(Backlog!$H:$H,Backlog!$E:$E,$A6,Backlog!$F:$F,"ANGI Sprint 1")</f>
        <v>30</v>
      </c>
      <c r="D6" s="3">
        <f>SUMIFS(Backlog!$H:$H,Backlog!$E:$E,$A6,Backlog!$F:$F,"ANGI Sprint 2")</f>
        <v>27</v>
      </c>
      <c r="E6" s="3">
        <f>SUMIFS(Backlog!$H:$H,Backlog!$E:$E,$A6,Backlog!$F:$F,"ANGI Sprint 3")</f>
        <v>18</v>
      </c>
      <c r="F6" s="3">
        <f>SUMIFS(Backlog!$H:$H,Backlog!$E:$E,$A6,Backlog!$F:$F,"ANGI Sprint 4")</f>
        <v>8</v>
      </c>
      <c r="G6" s="3">
        <f>SUMIFS(Backlog!$H:$H,Backlog!$E:$E,$A6,Backlog!$F:$F,"ANGI Sprint 5")</f>
        <v>0</v>
      </c>
      <c r="H6" s="3">
        <f t="shared" si="1"/>
        <v>88</v>
      </c>
    </row>
    <row r="8">
      <c r="A8" s="4" t="s">
        <v>727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2026-10-03T14:42:57Z</dcterms:created>
  <dc:creator>openpyxl</dc:creator>
</cp:coreProperties>
</file>