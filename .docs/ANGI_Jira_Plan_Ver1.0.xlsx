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s" sheetId="1" r:id="rId4"/>
    <sheet state="visible" name="Team" sheetId="2" r:id="rId5"/>
    <sheet state="visible" name="Epics" sheetId="3" r:id="rId6"/>
    <sheet state="visible" name="Backlog" sheetId="4" r:id="rId7"/>
    <sheet state="visible" name="Gantt" sheetId="5" r:id="rId8"/>
    <sheet state="visible" name="Workload" sheetId="6" r:id="rId9"/>
  </sheets>
  <definedNames>
    <definedName hidden="1" localSheetId="3" name="_xlnm._FilterDatabase">Backlog!$A$1:$O$211</definedName>
    <definedName hidden="1" localSheetId="4" name="_xlnm._FilterDatabase">Gantt!$A$1:$BX$211</definedName>
  </definedNames>
  <calcPr/>
  <extLst>
    <ext uri="GoogleSheetsCustomDataVersion2">
      <go:sheetsCustomData xmlns:go="http://customooxmlschemas.google.com/" r:id="rId10" roundtripDataChecksum="gTonJ+KE6gh5KVWNA5C59Tke/m0FrtcDN80leWzXj+Y="/>
    </ext>
  </extLst>
</workbook>
</file>

<file path=xl/sharedStrings.xml><?xml version="1.0" encoding="utf-8"?>
<sst xmlns="http://schemas.openxmlformats.org/spreadsheetml/2006/main" count="3860" uniqueCount="1071">
  <si>
    <t>Sprint</t>
  </si>
  <si>
    <t>Thành viên</t>
  </si>
  <si>
    <t>Issue ID</t>
  </si>
  <si>
    <t>Epic key</t>
  </si>
  <si>
    <t>Tuần</t>
  </si>
  <si>
    <t>Bắt đầu</t>
  </si>
  <si>
    <t>Kết thúc</t>
  </si>
  <si>
    <t>Type</t>
  </si>
  <si>
    <t>Epic</t>
  </si>
  <si>
    <t>Summary</t>
  </si>
  <si>
    <t>Sprint Goal</t>
  </si>
  <si>
    <t>Phạm vi</t>
  </si>
  <si>
    <t>Description</t>
  </si>
  <si>
    <t>Start Date</t>
  </si>
  <si>
    <t>Số task</t>
  </si>
  <si>
    <t>Assignee</t>
  </si>
  <si>
    <t>End Date</t>
  </si>
  <si>
    <t>Story points</t>
  </si>
  <si>
    <t>Story Points</t>
  </si>
  <si>
    <t>Vai trò</t>
  </si>
  <si>
    <t>ANGI Sprint 0</t>
  </si>
  <si>
    <t>Due Date</t>
  </si>
  <si>
    <t>Người review PR</t>
  </si>
  <si>
    <t>Labels</t>
  </si>
  <si>
    <t>EP-SETUP</t>
  </si>
  <si>
    <t>Jira key</t>
  </si>
  <si>
    <t>W5</t>
  </si>
  <si>
    <t>05/10/2026</t>
  </si>
  <si>
    <t>Project Setup &amp; Infrastructure</t>
  </si>
  <si>
    <t>11/10/2026</t>
  </si>
  <si>
    <t>Dũng</t>
  </si>
  <si>
    <t>Repo, CI/CD, solution skeleton, DB migration, seed data, shared services</t>
  </si>
  <si>
    <t>Hoàn tất thiết kế (SDS v1.0, Test Plan, SRS v1.0), dựng khung dự án, DB, CI, seed data</t>
  </si>
  <si>
    <t>Critical path</t>
  </si>
  <si>
    <t>PM; Recommendation System (FastAPI); DevOps, hạ tầng, database; Backend F-26 (AI generation roadmap item)</t>
  </si>
  <si>
    <t>Hưng</t>
  </si>
  <si>
    <t>Float (ngày)</t>
  </si>
  <si>
    <t>08/11/2026</t>
  </si>
  <si>
    <t>Priority</t>
  </si>
  <si>
    <t>Backend .NET: Authentication, Restaurant, Roadmap, Moderation (nhà hàng, menu), Administration (quyền)</t>
  </si>
  <si>
    <t>Trọng</t>
  </si>
  <si>
    <t>Backend .NET: Account, Discovery, Notification, Blog, Feedback &amp; Report, Moderation (người dùng, nội dung)</t>
  </si>
  <si>
    <t>T133</t>
  </si>
  <si>
    <t>Task</t>
  </si>
  <si>
    <t>Tuấn</t>
  </si>
  <si>
    <t>Frontend Next.js: Owner portal, Roadmap, Admin</t>
  </si>
  <si>
    <t>Tạo GitHub repo (backend, frontend, reco), branch strategy, PR template, rule review</t>
  </si>
  <si>
    <t>Cấu hình đúng commit_guide.md: nhánh main/dev, nhánh làm việc &lt;type&gt;/ANGI-xxx-mô-tả tạo từ dev; PR vào dev, squash merge, cần 1 approve. Bảo vệ main và dev (không push thẳng).</t>
  </si>
  <si>
    <t>Đức</t>
  </si>
  <si>
    <t>Frontend Next.js: Auth, Discovery, Blog, Moderation; Test docs, User Guide</t>
  </si>
  <si>
    <t>devops</t>
  </si>
  <si>
    <t>ANGI-14</t>
  </si>
  <si>
    <t>Medium</t>
  </si>
  <si>
    <t>T157</t>
  </si>
  <si>
    <t>Report 4: SDS v1.0 (High Level Design)</t>
  </si>
  <si>
    <t>Cả team cùng viết, mỗi người viết phần module/feature mình làm. Dũng tổng hợp và duyệt cuối.</t>
  </si>
  <si>
    <t>EP-DOC</t>
  </si>
  <si>
    <t>docs</t>
  </si>
  <si>
    <t>ANGI-15</t>
  </si>
  <si>
    <t>T134</t>
  </si>
  <si>
    <t>Docker Compose môi trường dev: PostgreSQL 16 + pgvector</t>
  </si>
  <si>
    <t>Mỗi dev chạy được DB local bằng 1 lệnh; tạo 2 DB role riêng cho backend (schema core) và reco (schema recommendation) như project_architecture.md mục 6. Viết hướng dẫn chạy vào README.</t>
  </si>
  <si>
    <t>06/10/2026</t>
  </si>
  <si>
    <t>ANGI-16</t>
  </si>
  <si>
    <t>T140</t>
  </si>
  <si>
    <t>Shared service: upload ảnh/tài liệu (Cloudinary)</t>
  </si>
  <si>
    <t>Interface ở Application/Common/Interfaces/Services, implementation ở Infrastructure/Services (project_architecture.md mục 2). Dùng cho MEDIA-01 và bảng media_files.</t>
  </si>
  <si>
    <t>07/10/2026</t>
  </si>
  <si>
    <t>backend</t>
  </si>
  <si>
    <t>ANGI-17</t>
  </si>
  <si>
    <t>T141</t>
  </si>
  <si>
    <t>Shared service: gửi email (Brevo) + template xác minh / reset mật khẩu</t>
  </si>
  <si>
    <t>EP-AUTH</t>
  </si>
  <si>
    <t>Interface ở Application/Common/Interfaces/Services, implementation ở Infrastructure/Services (project_architecture.md mục 2). Dùng cho F-01, F-02, F-05.</t>
  </si>
  <si>
    <t>Authentication &amp; Account</t>
  </si>
  <si>
    <t>F-01..F-08</t>
  </si>
  <si>
    <t>ANGI Sprint 1</t>
  </si>
  <si>
    <t>W6-W7</t>
  </si>
  <si>
    <t>12/10/2026</t>
  </si>
  <si>
    <t>08/10/2026</t>
  </si>
  <si>
    <t>25/10/2026</t>
  </si>
  <si>
    <t>ANGI-18</t>
  </si>
  <si>
    <t>Iteration 1: Authentication &amp; Account, Restaurant Management, Discovery, Reco phase 1 -&gt; Software Package V1</t>
  </si>
  <si>
    <t>20/10/2026</t>
  </si>
  <si>
    <t>T142</t>
  </si>
  <si>
    <t>Khung Next.js: layout, routing theo role, API client, auth guard, UI kit</t>
  </si>
  <si>
    <t>API client đọc base URL từ env, lấy dữ liệu từ field data của ApiResponse, rẽ nhánh lỗi theo errorCode (sheet Mã lỗi của ANGI_API_Design_Ver1.7), xử lý refresh token (AUTH-06).</t>
  </si>
  <si>
    <t>frontend</t>
  </si>
  <si>
    <t>ANGI-19</t>
  </si>
  <si>
    <t>High</t>
  </si>
  <si>
    <t>T143</t>
  </si>
  <si>
    <t>Wireframe/mockup các màn hình Iteration 1</t>
  </si>
  <si>
    <t>Theo các use case Iteration 1 trong ANGI_Use_Case_Basic_Descriptions_Ver1.0.</t>
  </si>
  <si>
    <t>ANGI-20</t>
  </si>
  <si>
    <t>T135</t>
  </si>
  <si>
    <t>Database: ANGIContext schema core, base class, initial migration</t>
  </si>
  <si>
    <t>EP-NOTI</t>
  </si>
  <si>
    <t>Map toàn bộ bảng schema core theo ANGI_Data_Dictionary_Ver1.1 vào ANGIContext (IEntityTypeConfiguration mỗi bảng), BaseEntity + ISoftDelete, enum lưu đúng giá trị chữ thường như sheet Enum của ANGI_API_Design_Ver1.7. Initial migration gồm cả CHECK, citext và trigger outbox (migrationBuilder.Sql). Từ đây schema core chỉ đổi qua EF migration (commit_guide.md mục 10). | Làm sau: Docker Compose môi trường dev: PostgreSQL 16 + pgvector.</t>
  </si>
  <si>
    <t>Notification</t>
  </si>
  <si>
    <t>F-09..F-10</t>
  </si>
  <si>
    <t>ANGI Sprint 2</t>
  </si>
  <si>
    <t>26/10/2026</t>
  </si>
  <si>
    <t>W8-W9</t>
  </si>
  <si>
    <t>27/10/2026</t>
  </si>
  <si>
    <t>Iteration 2: Roadmap, Feedback &amp; Report, Blog, Notification, Reco phase 2 -&gt; Software Package V2</t>
  </si>
  <si>
    <t>ANGI-21</t>
  </si>
  <si>
    <t>T158</t>
  </si>
  <si>
    <t>Report 5: Test Planning</t>
  </si>
  <si>
    <t>ANGI-22</t>
  </si>
  <si>
    <t>T139</t>
  </si>
  <si>
    <t>Backend: ExceptionHandlingMiddleware, cấu hình JWT, CORS, rate limit</t>
  </si>
  <si>
    <t>Mọi response bọc trong ApiResponse&lt;T&gt; (success, message, errorCode, data, errors) theo coding_rule.md mục 5. Middleware map exception sang status + errorCode theo coding_rule.md mục 7 và sheet Mã lỗi của ANGI_API_Design_Ver1.7; 401, 403, 429 và lỗi model binding cũng trả ApiResponse. JWT, CORS, rate limit theo project_architecture.md mục 4–5.</t>
  </si>
  <si>
    <t>EP-DISC</t>
  </si>
  <si>
    <t>Dish &amp; Restaurant Discovery</t>
  </si>
  <si>
    <t>F-11..F-18</t>
  </si>
  <si>
    <t>ANGI-23</t>
  </si>
  <si>
    <t>ANGI Sprint 3</t>
  </si>
  <si>
    <t>W10-W11</t>
  </si>
  <si>
    <t>09/11/2026</t>
  </si>
  <si>
    <t>22/11/2026</t>
  </si>
  <si>
    <t>T136</t>
  </si>
  <si>
    <t>Iteration 3: Moderation, Administration, Reco last phase, System Test Cases -&gt; Software Package V3</t>
  </si>
  <si>
    <t>CI GitHub Actions: build + unit test cho .NET, FastAPI, Next.js</t>
  </si>
  <si>
    <t>Chạy cho mọi PR vào dev; PR đỏ thì không được merge. | Làm sau: Database: ANGIContext schema core, base class, initial migration.</t>
  </si>
  <si>
    <t>09/10/2026</t>
  </si>
  <si>
    <t>ANGI-24</t>
  </si>
  <si>
    <t>T144</t>
  </si>
  <si>
    <t>Ghi audit log cho thao tác quan trọng</t>
  </si>
  <si>
    <t>Ghi vào bảng audit_logs (ANGI_Data_Dictionary_Ver1.1): đăng nhập, khóa/mở khóa user, duyệt nhà hàng/menu, ẩn nội dung, đổi quyền. Dữ liệu cho F-55 và F-64 ở Iteration 3. | Làm sau: Database: ANGIContext schema core, base class, initial migration.</t>
  </si>
  <si>
    <t>EP-ROAD</t>
  </si>
  <si>
    <t>ANGI-25</t>
  </si>
  <si>
    <t>T137</t>
  </si>
  <si>
    <t>Seed data: nhà hàng đã verify, món, user test cho mọi role</t>
  </si>
  <si>
    <t>Dữ liệu đúng cấu trúc ANGI_Data_Dictionary_Ver1.1, chạy lại được nhiều lần. Đủ để test Discovery và Roadmap trước khi có Moderation (Iteration 3); mỗi role có ít nhất 1 tài khoản test. | Làm sau: Database: ANGIContext schema core, base class, initial migration.</t>
  </si>
  <si>
    <t>ANGI Sprint 4</t>
  </si>
  <si>
    <t>10/10/2026</t>
  </si>
  <si>
    <t>W12-W13</t>
  </si>
  <si>
    <t>23/11/2026</t>
  </si>
  <si>
    <t>ANGI-26</t>
  </si>
  <si>
    <t>Roadmap</t>
  </si>
  <si>
    <t>06/12/2026</t>
  </si>
  <si>
    <t>Verification &amp; Validation: System/Acceptance test, fix bug, User Guides, Final Software Package</t>
  </si>
  <si>
    <t>F-19..F-30</t>
  </si>
  <si>
    <t>T159</t>
  </si>
  <si>
    <t>Report 3: SRS v1.0 (Detailed Requirements Iteration 1)</t>
  </si>
  <si>
    <t>03/11/2026</t>
  </si>
  <si>
    <t>ANGI-27</t>
  </si>
  <si>
    <t>T138</t>
  </si>
  <si>
    <t>Khung FastAPI reco service: kết nối schema recommendation, migration, X-Api-Key, /health</t>
  </si>
  <si>
    <t>Bảng theo sheet Recommendation của ANGI_Data_Dictionary_Ver1.1; endpoint theo sheet Reco API (nội bộ) của ANGI_API_Design_Ver1.7. Migration của reco là nơi duy nhất tạo bảng recommendation và bật extension vector.</t>
  </si>
  <si>
    <t>reco</t>
  </si>
  <si>
    <t>ANGI-28</t>
  </si>
  <si>
    <t>T001</t>
  </si>
  <si>
    <t>ANGI Sprint 5</t>
  </si>
  <si>
    <t>W14</t>
  </si>
  <si>
    <t>07/12/2026</t>
  </si>
  <si>
    <t>[BE] F-01 Register Account</t>
  </si>
  <si>
    <t>13/12/2026</t>
  </si>
  <si>
    <t>EP-FBR</t>
  </si>
  <si>
    <t>Closing: Final Project Report, Presentation</t>
  </si>
  <si>
    <t>Restaurant Feedback &amp; Report</t>
  </si>
  <si>
    <t>F-31..F-33</t>
  </si>
  <si>
    <t>31/10/2026</t>
  </si>
  <si>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làm:
- AUTH-01 POST /api/v1/auth/register
Ghi chú: Gửi mail xác minh qua email service (task Brevo của EP-SETUP). Đăng ký là Traveler hoặc Restaurant Owner, mỗi tài khoản 1 role.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</si>
  <si>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backend iteration1</t>
  </si>
  <si>
    <t>ANGI-29</t>
  </si>
  <si>
    <t>T002</t>
  </si>
  <si>
    <t>[FE] F-01 Register Account</t>
  </si>
  <si>
    <t>Use case F-01 Register Account (Actor: Guest). Allows a guest to create a new ANGI account by providing the required registration information. The system validates the information and checks its uniqueness, creates the account in the appropriate status, and requires email verification before the account can use features that need authentication.
Endpoint cần gọi:
- AUTH-01 POST /api/v1/auth/register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</si>
  <si>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frontend iteration1</t>
  </si>
  <si>
    <t>ANGI-30</t>
  </si>
  <si>
    <t>T029</t>
  </si>
  <si>
    <t>[BE] F-15 Browse Restaurant</t>
  </si>
  <si>
    <t>EP-BLOG</t>
  </si>
  <si>
    <t>Blog</t>
  </si>
  <si>
    <t>F-34..F-42</t>
  </si>
  <si>
    <t>Use case F-15 Browse Restaurant (Actor: Guest, Traveler). Allows a Guest or Traveler to browse the list of restaurants on ANGI. Users can explore restaurants based on the information provided by the system and the supported search/filter criteria.
Endpoint cần làm:
- REST-01 GET /api/v1/restaurants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</si>
  <si>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02/11/2026</t>
  </si>
  <si>
    <t>ANGI-31</t>
  </si>
  <si>
    <t>T146</t>
  </si>
  <si>
    <t>Reco client trong backend .NET (IRecommendationService)</t>
  </si>
  <si>
    <t>Typed HttpClient gọi RECO-03, RECO-05, RECO-06, RECO-09 với X-Api-Key; timeout 800 ms và fallback xếp theo rating quán (project_architecture.md mục 2). | Làm sau: Khung FastAPI reco service: kết nối schema recommendation, migration, X-Api-Key, /health.</t>
  </si>
  <si>
    <t>EP-RECO</t>
  </si>
  <si>
    <t>ANGI-32</t>
  </si>
  <si>
    <t>EP-REST</t>
  </si>
  <si>
    <t>Restaurant Management</t>
  </si>
  <si>
    <t>T005</t>
  </si>
  <si>
    <t>F-43..F-51</t>
  </si>
  <si>
    <t>[BE] F-03 Login</t>
  </si>
  <si>
    <t>Use case F-03 Login (Actor: Guest). Allows a registered user to log in to the system with their account credentials. The system authenticates the credentials, checks the account status, and creates a login session if the information is valid.
Endpoint cần làm:
- AUTH-04 POST /api/v1/auth/login
- AUTH-06 POST /api/v1/auth/refresh
- AUTH-07 POST /api/v1/auth/logout
Ghi chú: Access token 15 phút + refresh token 30 ngày xoay vòng (user_sessions). Khóa 15 phút sau 5 lần sai. Trả needsPreferenceSurvey theo RECO-09.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</si>
  <si>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13/10/2026</t>
  </si>
  <si>
    <t>ANGI-33</t>
  </si>
  <si>
    <t>T006</t>
  </si>
  <si>
    <t>[FE] F-03 Login</t>
  </si>
  <si>
    <t>Use case F-03 Login (Actor: Guest). Allows a registered user to log in to the system with their account credentials. The system authenticates the credentials, checks the account status, and creates a login session if the information is valid.
Endpoint cần gọi:
- AUTH-04 POST /api/v1/auth/login
- AUTH-06 POST /api/v1/auth/refresh
- AUTH-07 POST /api/v1/auth/logout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</si>
  <si>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EP-MOD</t>
  </si>
  <si>
    <t>Moderation</t>
  </si>
  <si>
    <t>F-52..F-62</t>
  </si>
  <si>
    <t>ANGI-34</t>
  </si>
  <si>
    <t>17/11/2026</t>
  </si>
  <si>
    <t>T031</t>
  </si>
  <si>
    <t>[BE] F-16 View Restaurant Detail</t>
  </si>
  <si>
    <t>Use case F-16 View Restaurant Detail (Actor: Guest, Traveler). Allows a Guest or Traveler to view the details of a restaurant, including basic information, address, location, opening hours, menu, rating, and other related information.
Endpoint cần làm:
- REST-02 GET /api/v1/restaurants/{restaurantId}
- REST-03 GET /api/v1/restaurants/{restaurantId}/menu
- REST-04 GET /api/v1/restaurants/{restaurantId}/reviews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</si>
  <si>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ANGI-35</t>
  </si>
  <si>
    <t>T086</t>
  </si>
  <si>
    <t>[FE] F-43 Register Restaurant</t>
  </si>
  <si>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gọi:
- OWN-01 POST /api/v1/owner/restaurant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</si>
  <si>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ANGI-36</t>
  </si>
  <si>
    <t>T147</t>
  </si>
  <si>
    <t>Reco P1: Chuẩn hóa dữ liệu + ontology 12 chiều</t>
  </si>
  <si>
    <t>Recommendation_System_Design_Ver1.0 mục 2. Deliverable: Ontology.</t>
  </si>
  <si>
    <t>EP-ADMIN</t>
  </si>
  <si>
    <t>Administration</t>
  </si>
  <si>
    <t>F-63..F-66</t>
  </si>
  <si>
    <t>ANGI-37</t>
  </si>
  <si>
    <t>16/11/2026</t>
  </si>
  <si>
    <t>T013</t>
  </si>
  <si>
    <t>[BE] F-07 Manage Personal Profile</t>
  </si>
  <si>
    <t>Start</t>
  </si>
  <si>
    <t>Use case F-07 Manage Personal Profile (Actor: Registered User). Allows a Registered User to view and update the editable personal information of their account, such as display name and related profile details. The system validates the input and saves valid changes.
Endpoint cần làm:
- ME-01 GET /api/v1/me
- ME-02 PATCH /api/v1/me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F-03 Login.</t>
  </si>
  <si>
    <t>Due</t>
  </si>
  <si>
    <t>Float</t>
  </si>
  <si>
    <t>ANGI-38</t>
  </si>
  <si>
    <t>05/10</t>
  </si>
  <si>
    <t>T085</t>
  </si>
  <si>
    <t>[BE] F-43 Register Restaurant</t>
  </si>
  <si>
    <t>Use case F-43 Register Restaurant (Actor: Restaurant Owner). Allows a Restaurant Owner to register a restaurant on ANGI by providing the required information about the business and its location. The system creates the restaurant record and puts it in the appropriate status to continue the verification process.
Endpoint cần làm:
- OWN-01 POST /api/v1/owner/restaurant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</si>
  <si>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06/10</t>
  </si>
  <si>
    <t>07/10</t>
  </si>
  <si>
    <t>08/10</t>
  </si>
  <si>
    <t>Recommendation System</t>
  </si>
  <si>
    <t>Recommendation service (FastAPI) phase 1-3</t>
  </si>
  <si>
    <t>09/10</t>
  </si>
  <si>
    <t>10/10</t>
  </si>
  <si>
    <t>ANGI-39</t>
  </si>
  <si>
    <t>11/10</t>
  </si>
  <si>
    <t>12/10</t>
  </si>
  <si>
    <t>T015</t>
  </si>
  <si>
    <t>13/10</t>
  </si>
  <si>
    <t>14/10</t>
  </si>
  <si>
    <t>[BE] F-08 Change Password</t>
  </si>
  <si>
    <t>15/10</t>
  </si>
  <si>
    <t>16/10</t>
  </si>
  <si>
    <t>17/10</t>
  </si>
  <si>
    <t>Use case F-08 Change Password (Actor: Registered User). Allows a logged-in Registered User to change their current password. The system requires the current password, validates the new password, and updates it if all conditions are met.
Endpoint cần làm:
- ME-03 PUT /api/v1/me/password
Ghi chú: Đổi mật khẩu xong thì thu hồi các phiên khác.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F-03 Login.</t>
  </si>
  <si>
    <t>18/10</t>
  </si>
  <si>
    <t>19/10</t>
  </si>
  <si>
    <t>20/10</t>
  </si>
  <si>
    <t>14/10/2026</t>
  </si>
  <si>
    <t>21/10</t>
  </si>
  <si>
    <t>ANGI-40</t>
  </si>
  <si>
    <t>22/10</t>
  </si>
  <si>
    <t>T030</t>
  </si>
  <si>
    <t>[FE] F-15 Browse Restaurant</t>
  </si>
  <si>
    <t>Use case F-15 Browse Restaurant (Actor: Guest, Traveler). Allows a Guest or Traveler to browse the list of restaurants on ANGI. Users can explore restaurants based on the information provided by the system and the supported search/filter criteria.
Endpoint cần gọi:
- REST-01 GET /api/v1/restaurants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</si>
  <si>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23/10</t>
  </si>
  <si>
    <t>24/10</t>
  </si>
  <si>
    <t>25/10</t>
  </si>
  <si>
    <t>26/10</t>
  </si>
  <si>
    <t>27/10</t>
  </si>
  <si>
    <t>ANGI-41</t>
  </si>
  <si>
    <t>28/10</t>
  </si>
  <si>
    <t>29/10</t>
  </si>
  <si>
    <t>T087</t>
  </si>
  <si>
    <t>30/10</t>
  </si>
  <si>
    <t>31/10</t>
  </si>
  <si>
    <t>[BE] F-44 Manage Restaurant Profile</t>
  </si>
  <si>
    <t>01/11</t>
  </si>
  <si>
    <t>02/11</t>
  </si>
  <si>
    <t>03/11</t>
  </si>
  <si>
    <t>Use case F-44 Manage Restaurant Profile (Actor: Restaurant Owner). Allows a Restaurant Owner to view and update the restaurant profile, such as name, address, description, and other editable business information. The system validates the data and saves valid changes.
Endpoint cần làm:
- OWN-02 GET /api/v1/owner/restaurant
- OWN-03 PATCH /api/v1/owner/restaurant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</si>
  <si>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04/11</t>
  </si>
  <si>
    <t>05/11</t>
  </si>
  <si>
    <t>06/11</t>
  </si>
  <si>
    <t>ANGI-42</t>
  </si>
  <si>
    <t>07/11</t>
  </si>
  <si>
    <t>08/11</t>
  </si>
  <si>
    <t>09/11</t>
  </si>
  <si>
    <t>T088</t>
  </si>
  <si>
    <t>10/11</t>
  </si>
  <si>
    <t>[FE] F-44 Manage Restaurant Profile</t>
  </si>
  <si>
    <t>11/11</t>
  </si>
  <si>
    <t>Documentation &amp; Reports</t>
  </si>
  <si>
    <t>12/11</t>
  </si>
  <si>
    <t>SRS, SDS, Test docs, User Guides, Final Report</t>
  </si>
  <si>
    <t>13/11</t>
  </si>
  <si>
    <t>Use case F-44 Manage Restaurant Profile (Actor: Restaurant Owner). Allows a Restaurant Owner to view and update the restaurant profile, such as name, address, description, and other editable business information. The system validates the data and saves valid changes.
Endpoint cần gọi:
- OWN-02 GET /api/v1/owner/restaurant
- OWN-03 PATCH /api/v1/owner/restaurant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</si>
  <si>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14/11</t>
  </si>
  <si>
    <t>15/11</t>
  </si>
  <si>
    <t>16/11</t>
  </si>
  <si>
    <t>17/11</t>
  </si>
  <si>
    <t>18/11</t>
  </si>
  <si>
    <t>ANGI-43</t>
  </si>
  <si>
    <t>19/11</t>
  </si>
  <si>
    <t>20/11</t>
  </si>
  <si>
    <t>T149</t>
  </si>
  <si>
    <t>21/11</t>
  </si>
  <si>
    <t>22/11</t>
  </si>
  <si>
    <t>Reco P1: User vector từ khảo sát (RECO-03, RECO-09)</t>
  </si>
  <si>
    <t>23/11</t>
  </si>
  <si>
    <t>Recommendation_System_Design_Ver1.0 mục 3.2. Deliverable: User Vector. | Làm sau: Reco P1: Chuẩn hóa dữ liệu + ontology 12 chiều.</t>
  </si>
  <si>
    <t>24/11</t>
  </si>
  <si>
    <t>25/11</t>
  </si>
  <si>
    <t>26/11</t>
  </si>
  <si>
    <t>27/11</t>
  </si>
  <si>
    <t>28/11</t>
  </si>
  <si>
    <t>ANGI-44</t>
  </si>
  <si>
    <t>29/11</t>
  </si>
  <si>
    <t>30/11</t>
  </si>
  <si>
    <t>01/12</t>
  </si>
  <si>
    <t>T160</t>
  </si>
  <si>
    <t>02/12</t>
  </si>
  <si>
    <t>Report 4: SDS v1.1</t>
  </si>
  <si>
    <t>EP-QA</t>
  </si>
  <si>
    <t>03/12</t>
  </si>
  <si>
    <t>Testing &amp; Release</t>
  </si>
  <si>
    <t>04/12</t>
  </si>
  <si>
    <t>Integration/System/Acceptance test, bug fixing, software packages</t>
  </si>
  <si>
    <t>05/12</t>
  </si>
  <si>
    <t>19/10/2026</t>
  </si>
  <si>
    <t>06/12</t>
  </si>
  <si>
    <t>07/12</t>
  </si>
  <si>
    <t>08/12</t>
  </si>
  <si>
    <t>09/12</t>
  </si>
  <si>
    <t>10/12</t>
  </si>
  <si>
    <t>11/12</t>
  </si>
  <si>
    <t>ANGI-45</t>
  </si>
  <si>
    <t>12/12</t>
  </si>
  <si>
    <t>13/12</t>
  </si>
  <si>
    <t>T032</t>
  </si>
  <si>
    <t>[FE] F-16 View Restaurant Detail</t>
  </si>
  <si>
    <t>Use case F-16 View Restaurant Detail (Actor: Guest, Traveler). Allows a Guest or Traveler to view the details of a restaurant, including basic information, address, location, opening hours, menu, rating, and other related information.
Endpoint cần gọi:
- REST-02 GET /api/v1/restaurants/{restaurantId}
- REST-03 GET /api/v1/restaurants/{restaurantId}/menu
- REST-04 GET /api/v1/restaurants/{restaurantId}/reviews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</si>
  <si>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ANGI-46</t>
  </si>
  <si>
    <t>T089</t>
  </si>
  <si>
    <t>[BE] F-45 Update Business Hour</t>
  </si>
  <si>
    <t>Use case F-45 Update Business Hour (Actor: Restaurant Owner). Allows a Restaurant Owner to update the restaurant's opening hours. The system validates the times and saves the new schedule to display to users.
Endpoint cần làm:
- OWN-04 PUT /api/v1/owner/restaurant/business-hours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</si>
  <si>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ANGI-47</t>
  </si>
  <si>
    <t>T090</t>
  </si>
  <si>
    <t>[FE] F-45 Update Business Hour</t>
  </si>
  <si>
    <t>Use case F-45 Update Business Hour (Actor: Restaurant Owner). Allows a Restaurant Owner to update the restaurant's opening hours. The system validates the times and saves the new schedule to display to users.
Endpoint cần gọi:
- OWN-04 PUT /api/v1/owner/restaurant/business-hours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</si>
  <si>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ANGI-48</t>
  </si>
  <si>
    <t>T091</t>
  </si>
  <si>
    <t>[BE] F-46 Update Status</t>
  </si>
  <si>
    <t>Use case F-46 Update Status (Actor: Restaurant Owner). Allows a Restaurant Owner to update the restaurant's operating status, such as open or temporarily closed. The system saves the new status and uses it when displaying or providing restaurant information.
Endpoint cần làm:
- OWN-05 PUT /api/v1/owner/restaurant/operating-status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</si>
  <si>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ANGI-49</t>
  </si>
  <si>
    <t>T148</t>
  </si>
  <si>
    <t>Reco P1: Sinh dish vector (RECO-01 upsert, RECO-02 deactivate)</t>
  </si>
  <si>
    <t>[CRITICAL PATH] Task này nằm trên đường găng: dự phòng tối đa 1 ngày. Phải xong đúng Due Date 15/10/2026; trễ 1 ngày thì mốc "Software Package Version 1" (25/10/2026) bị trễ theo.
Ảnh hưởng trực tiếp tới: Reco P1: Cold start (Pooled Wilson) + Content-based, RECO-05 /recommendations, RECO-06 /impressions; Code freeze + tích hợp Iteration 1: merge PR vào dev, chạy toàn hệ thống.
Cần xong trước khi bắt đầu: Reco P1: Chuẩn hóa dữ liệu + ontology 12 chiều.
Gặp vướng thì báo ngay trong ngày cho Dũng (PM), không đợi họp.
Recommendation_System_Design_Ver1.0 mục 2.4. Deliverable: Dish Vector. | Làm sau: Reco P1: Chuẩn hóa dữ liệu + ontology 12 chiều.</t>
  </si>
  <si>
    <t>15/10/2026</t>
  </si>
  <si>
    <t>reco critical-path</t>
  </si>
  <si>
    <t>ANGI-50</t>
  </si>
  <si>
    <t>Có</t>
  </si>
  <si>
    <t>Highest</t>
  </si>
  <si>
    <t>T014</t>
  </si>
  <si>
    <t>[FE] F-07 Manage Personal Profile</t>
  </si>
  <si>
    <t>Use case F-07 Manage Personal Profile (Actor: Registered User). Allows a Registered User to view and update the editable personal information of their account, such as display name and related profile details. The system validates the input and saves valid changes.
Endpoint cần gọi:
- ME-01 GET /api/v1/me
- ME-02 PATCH /api/v1/me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</si>
  <si>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ANGI-51</t>
  </si>
  <si>
    <t>T095</t>
  </si>
  <si>
    <t>[BE] F-48 View Verification Status</t>
  </si>
  <si>
    <t>Use case F-48 View Verification Status (Actor: Restaurant Owner). Allows a Restaurant Owner to view the current status of the restaurant verification request, such as pending, approved, or rejected, along with any feedback.
Endpoint cần làm:
- OWN-07 GET /api/v1/owner/restaurant/verifications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</si>
  <si>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ANGI-52</t>
  </si>
  <si>
    <t>T099</t>
  </si>
  <si>
    <t>[BE] F-50 Manage Restaurant Menu</t>
  </si>
  <si>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làm: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Ghi chú: Sửa menu = soạn bản menu mới (menu_submissions, menu_submission_items); menu đang hiển thị giữ nguyên đến khi Mod duyệt.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</si>
  <si>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ANGI-53</t>
  </si>
  <si>
    <t>T016</t>
  </si>
  <si>
    <t>[FE] F-08 Change Password</t>
  </si>
  <si>
    <t>Use case F-08 Change Password (Actor: Registered User). Allows a logged-in Registered User to change their current password. The system requires the current password, validates the new password, and updates it if all conditions are met.
Endpoint cần gọi:
- ME-03 PUT /api/v1/me/password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</si>
  <si>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ANGI-54</t>
  </si>
  <si>
    <t>T092</t>
  </si>
  <si>
    <t>[FE] F-46 Update Status</t>
  </si>
  <si>
    <t>Use case F-46 Update Status (Actor: Restaurant Owner). Allows a Restaurant Owner to update the restaurant's operating status, such as open or temporarily closed. The system saves the new status and uses it when displaying or providing restaurant information.
Endpoint cần gọi:
- OWN-05 PUT /api/v1/owner/restaurant/operating-status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</si>
  <si>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ANGI-55</t>
  </si>
  <si>
    <t>T097</t>
  </si>
  <si>
    <t>[BE] F-49 Resubmit Verification</t>
  </si>
  <si>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làm:
- OWN-08 POST /api/v1/owner/restaurant/verifications/{verificationId}/resubmit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</si>
  <si>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ANGI-56</t>
  </si>
  <si>
    <t>Tổng</t>
  </si>
  <si>
    <t>T150</t>
  </si>
  <si>
    <t>Reco P1: Cold start (Pooled Wilson) + Content-based, RECO-05 /recommendations, RECO-06 /impressions</t>
  </si>
  <si>
    <t>[CRITICAL PATH] Task này nằm trên đường găng: dự phòng tối đa 1 ngày. Phải xong đúng Due Date 16/10/2026; trễ 1 ngày thì mốc "Software Package Version 1" (25/10/2026) bị trễ theo.
Ảnh hưởng trực tiếp tới: [BE] F-12 Browse Dish; [BE] F-11 View Home Page; Code freeze + tích hợp Iteration 1: merge PR vào dev, chạy toàn hệ thống.
Cần xong trước khi bắt đầu: Reco P1: Sinh dish vector (RECO-01 upsert, RECO-02 deactivate); Reco P1: User vector từ khảo sát (RECO-03, RECO-09).
Gặp vướng thì báo ngay trong ngày cho Dũng (PM), không đợi họp.
Recommendation_System_Design_Ver1.0 mục 3.3 và 3.6. Deliverable: Recommend for new user. | Làm sau: Reco P1: Sinh dish vector (RECO-01 upsert, RECO-02 deactivate), Reco P1: User vector từ khảo sát (RECO-03, RECO-09).</t>
  </si>
  <si>
    <t>16/10/2026</t>
  </si>
  <si>
    <t>ANGI-57</t>
  </si>
  <si>
    <t>T003</t>
  </si>
  <si>
    <t>[BE] F-02 Verify Email</t>
  </si>
  <si>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làm:
- AUTH-02 POST /api/v1/auth/verify-email
- AUTH-03 POST /api/v1/auth/verify-email/resend
Ghi chú: Token lưu dạng hash trong user_tokens, dùng 1 lần; resend giới hạn 1 lần / 60 giây.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</si>
  <si>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ANGI-58</t>
  </si>
  <si>
    <t>T004</t>
  </si>
  <si>
    <t>[FE] F-02 Verify Email</t>
  </si>
  <si>
    <t>Use case F-02 Verify Email (Actor: Guest). Allows a user to verify the email address of their account through a verification link or code sent by the system. The system checks the validity and expiry of the verification data, then updates the account's email status when verification succeeds.
Endpoint cần gọi:
- AUTH-02 POST /api/v1/auth/verify-email
- AUTH-03 POST /api/v1/auth/verify-email/resend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</si>
  <si>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ANGI-59</t>
  </si>
  <si>
    <t>T025</t>
  </si>
  <si>
    <t>[BE] F-13 View Dish Detail</t>
  </si>
  <si>
    <t>Use case F-13 View Dish Detail (Actor: Guest, Traveler). Allows a Guest or Traveler to view the details of a dish, including its name, description, characteristics, related information, and the restaurant that serves it.
Endpoint cần làm:
- DISH-02 GET /api/v1/dishes/{dishId}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</si>
  <si>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ANGI-60</t>
  </si>
  <si>
    <t>T094</t>
  </si>
  <si>
    <t>[FE] F-47 Submit Verification</t>
  </si>
  <si>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gọi:
- OWN-06 POST /api/v1/owner/restaurant/verifications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</si>
  <si>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ANGI-61</t>
  </si>
  <si>
    <t>T007</t>
  </si>
  <si>
    <t>[BE] F-04 Login with Google</t>
  </si>
  <si>
    <t>Use case F-04 Login with Google (Actor: Guest). Allows a user to log in or register an ANGI account using a Google account. The system verifies the information from Google, finds or creates the corresponding ANGI account, and establishes a login session for the user.
Endpoint cần làm:
- AUTH-05 POST /api/v1/auth/google
Ghi chú: Xác thực idToken Google, liên kết qua user_external_logins.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</si>
  <si>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ANGI-62</t>
  </si>
  <si>
    <t>T026</t>
  </si>
  <si>
    <t>[FE] F-13 View Dish Detail</t>
  </si>
  <si>
    <t>Use case F-13 View Dish Detail (Actor: Guest, Traveler). Allows a Guest or Traveler to view the details of a dish, including its name, description, characteristics, related information, and the restaurant that serves it.
Endpoint cần gọi:
- DISH-02 GET /api/v1/dishes/{dishId}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</si>
  <si>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ANGI-63</t>
  </si>
  <si>
    <t>T027</t>
  </si>
  <si>
    <t>[BE] F-14 View Corresponding Restaurant Detail</t>
  </si>
  <si>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làm:
- REST-02 GET /api/v1/restaurants/{restaurantId}
- DISH-02 GET /api/v1/dishes/{dishId}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</si>
  <si>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ANGI-64</t>
  </si>
  <si>
    <t>T096</t>
  </si>
  <si>
    <t>[FE] F-48 View Verification Status</t>
  </si>
  <si>
    <t>Use case F-48 View Verification Status (Actor: Restaurant Owner). Allows a Restaurant Owner to view the current status of the restaurant verification request, such as pending, approved, or rejected, along with any feedback.
Endpoint cần gọi:
- OWN-07 GET /api/v1/owner/restaurant/verifications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</si>
  <si>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ANGI-65</t>
  </si>
  <si>
    <t>T009</t>
  </si>
  <si>
    <t>[BE] F-05 Forgot Password</t>
  </si>
  <si>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làm:
- AUTH-08 POST /api/v1/auth/forgot-password
Ghi chú: Luôn trả 200 (data null) dù email có tồn tại hay không (AUTH-08); giới hạn 1 lần / 60 giây.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</si>
  <si>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17/10/2026</t>
  </si>
  <si>
    <t>ANGI-66</t>
  </si>
  <si>
    <t>T028</t>
  </si>
  <si>
    <t>[FE] F-14 View Corresponding Restaurant Detail</t>
  </si>
  <si>
    <t>Use case F-14 View Corresponding Restaurant Detail (Actor: Guest, Traveler). Allows a Guest or Traveler to view the details of the eatery/restaurant that serves a specific dish, including basic information, address, location, opening hours, menu, rating, and other related information.
Endpoint cần gọi:
- REST-02 GET /api/v1/restaurants/{restaurantId}
- DISH-02 GET /api/v1/dishes/{dishId}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</si>
  <si>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ANGI-67</t>
  </si>
  <si>
    <t>T098</t>
  </si>
  <si>
    <t>[FE] F-49 Resubmit Verification</t>
  </si>
  <si>
    <t>Use case F-49 Resubmit Verification (Actor: Restaurant Owner). Allows a Restaurant Owner to resubmit a verification request after the previous submission was rejected or more information was requested. The system receives the updated data and creates a new submission for review.
Endpoint cần gọi:
- OWN-08 POST /api/v1/owner/restaurant/verifications/{verificationId}/resubmit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</si>
  <si>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ANGI-68</t>
  </si>
  <si>
    <t>T023</t>
  </si>
  <si>
    <t>[BE] F-12 Browse Dish</t>
  </si>
  <si>
    <t>[CRITICAL PATH] Task này nằm trên đường găng: dự phòng tối đa 1 ngày. Phải xong đúng Due Date 17/10/2026; trễ 1 ngày thì mốc "Software Package Version 1" (25/10/2026) bị trễ theo.
Ảnh hưởng trực tiếp tới: [BE] F-18 Roll Dish; Code freeze + tích hợp Iteration 1: merge PR vào dev, chạy toàn hệ thống.
Cần xong trước khi bắt đầu: Reco client trong backend .NET (IRecommendationService); Reco P1: Cold start (Pooled Wilson) + Content-based, RECO-05 /recommendations, RECO-06 /impressions;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F-12 Browse Dish (Actor: Guest, Traveler). Allows a Guest or Traveler to browse the list of dishes on ANGI. Users can view basic information and use the supported filtering or search options to discover suitable dishes.
Endpoint cần làm:
- DISH-01 GET /api/v1/dishes
- IMP-01 POST /api/v1/impressions
- CAT-02 GET /api/v1/tags
Ghi chú: Backend lọc ứng viên (tag, giá, bữa…) rồi gọi RECO-05; trả cursor + requestId. App gửi IMP-01 để ghi impression.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Reco client trong backend .NET (IRecommendationService), Reco P1: Cold start (Pooled Wilson) + Content-based, RECO-05 /recommendations, RECO-06 /impressions.</t>
  </si>
  <si>
    <t>backend iteration1 critical-path</t>
  </si>
  <si>
    <t>ANGI-69</t>
  </si>
  <si>
    <t>T011</t>
  </si>
  <si>
    <t>[BE] F-06 Reset Password</t>
  </si>
  <si>
    <t>Use case F-06 Reset Password (Actor: Guest). Allows a user to set a new password through the password recovery process. The system verifies that the reset request is valid, checks the requirements for the new password, and updates the account's credentials.
Endpoint cần làm:
- AUTH-09 POST /api/v1/auth/reset-password
Ghi chú: Đổi mật khẩu xong thì thu hồi mọi phiên (user_sessions.revoked_at).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</si>
  <si>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ANGI-70</t>
  </si>
  <si>
    <t>T033</t>
  </si>
  <si>
    <t>[BE] F-17 Set Up Preference Profile</t>
  </si>
  <si>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làm:
- PREF-02 POST /api/v1/me/preference-survey
- PREF-03 POST /api/v1/me/preference-survey/skip
Ghi chú: Câu trả lời khảo sát chỉ lưu ở reco: gọi RECO-03 trực tiếp; bỏ qua = PREF-03 gửi answers rỗng.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Hưng review. | Làm sau: Reco P1: User vector từ khảo sát (RECO-03, RECO-09).</t>
  </si>
  <si>
    <t>ANGI-71</t>
  </si>
  <si>
    <t>T021</t>
  </si>
  <si>
    <t>[BE] F-11 View Home Page</t>
  </si>
  <si>
    <t>[CRITICAL PATH] Task này nằm trên đường găng: dự phòng tối đa 1 ngày. Phải xong đúng Due Date 18/10/2026; trễ 1 ngày thì mốc "Software Package Version 1" (25/10/2026) bị trễ theo.
Ảnh hưởng trực tiếp tới: Code freeze + tích hợp Iteration 1: merge PR vào dev, chạy toàn hệ thống.
Cần xong trước khi bắt đầu: Reco P1: Cold start (Pooled Wilson) + Content-based, RECO-05 /recommendations, RECO-06 /impressions;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F-11 View Home Page (Actor: Guest, Traveler). Allows a Guest or Traveler to view the Home Page, which shows information such as trending dishes, top restaurants, highly interacted user blogs, web banners, etc.
Endpoint cần làm:
- HOME-01 GET /api/v1/home
- IMP-01 POST /api/v1/impressions
Ghi chú: Món gợi ý lấy qua IRecommendationService (RECO-05). Reco lỗi hoặc quá 800 ms thì xếp theo rating quán (project_architecture.md mục 2).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Reco P1: Cold start (Pooled Wilson) + Content-based, RECO-05 /recommendations, RECO-06 /impressions.</t>
  </si>
  <si>
    <t>18/10/2026</t>
  </si>
  <si>
    <t>ANGI-72</t>
  </si>
  <si>
    <t>T024</t>
  </si>
  <si>
    <t>[FE] F-12 Browse Dish</t>
  </si>
  <si>
    <t>Use case F-12 Browse Dish (Actor: Guest, Traveler). Allows a Guest or Traveler to browse the list of dishes on ANGI. Users can view basic information and use the supported filtering or search options to discover suitable dishes.
Endpoint cần gọi:
- DISH-01 GET /api/v1/dishes
- IMP-01 POST /api/v1/impressions
- CAT-02 GET /api/v1/tags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</si>
  <si>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ANGI-73</t>
  </si>
  <si>
    <t>T034</t>
  </si>
  <si>
    <t>[FE] F-17 Set Up Preference Profile</t>
  </si>
  <si>
    <t>Use case F-17 Set Up Preference Profile (Actor: Traveler). Allows a Traveler to set up an initial preference profile by answering the system's questions on first use, to support the recommendation system. The system stores the answers as the initial input data for the preference profile.
Endpoint cần gọi:
- PREF-02 POST /api/v1/me/preference-survey
- PREF-03 POST /api/v1/me/preference-survey/skip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</si>
  <si>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ANGI-74</t>
  </si>
  <si>
    <t>T093</t>
  </si>
  <si>
    <t>[BE] F-47 Submit Verification</t>
  </si>
  <si>
    <t>Use case F-47 Submit Verification (Actor: Restaurant Owner). Allows a Restaurant Owner to submit the information and documents required to request restaurant verification. The system checks that the submission is complete and moves the request to the pending review status.
Endpoint cần làm:
- OWN-06 POST /api/v1/owner/restaurant/verifications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</si>
  <si>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ANGI-75</t>
  </si>
  <si>
    <t>T101</t>
  </si>
  <si>
    <t>[BE] F-51 Submit Menu for Approval</t>
  </si>
  <si>
    <t>[CRITICAL PATH] Task này nằm trên đường găng: dự phòng tối đa 1 ngày. Phải xong đúng Due Date 18/10/2026; trễ 1 ngày thì mốc "Software Package Version 1" (25/10/2026) bị trễ theo.
Ảnh hưởng trực tiếp tới: [FE] F-51 Submit Menu for Approval; Code freeze + tích hợp Iteration 1: merge PR vào dev, chạy toàn hệ thống.
Cần xong trước khi bắt đầu: Database: ANGIContext schema core, base class, initial migration; Backend: ExceptionHandlingMiddleware, cấu hình JWT, CORS, rate limit.
Gặp vướng thì báo ngay trong ngày cho Dũng (PM), không đợi họp.
Use case F-51 Submit Menu for Approval (Actor: Restaurant Owner). Allows a Restaurant Owner to submit completed menu changes to the system for review and approval. The system moves the menu/submission to the pending approval status.
Endpoint cần làm:
- OWN-17 POST /api/v1/owner/restaurant/menu-submissions/{submissionId}/submit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</si>
  <si>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ANGI-76</t>
  </si>
  <si>
    <t>T145</t>
  </si>
  <si>
    <t>Outbox worker (.NET) gửi thay đổi món và like/dislike sang reco</t>
  </si>
  <si>
    <t>BackgroundService đọc outbox_messages, gửi kèm Idempotency-Key, thử lại theo backoff, chuyển dead khi lỗi 4xx hoặc quá số lần thử. Chi tiết luồng: project_architecture.md mục 7. | Làm sau: Reco P1: Sinh dish vector (RECO-01 upsert, RECO-02 deactivate), [BE] F-50 Manage Restaurant Menu.</t>
  </si>
  <si>
    <t>ANGI-77</t>
  </si>
  <si>
    <t>T035</t>
  </si>
  <si>
    <t>[BE] F-18 Roll Dish</t>
  </si>
  <si>
    <t>[CRITICAL PATH] Task này nằm trên đường găng: dự phòng tối đa 1 ngày. Phải xong đúng Due Date 19/10/2026; trễ 1 ngày thì mốc "Software Package Version 1" (25/10/2026) bị trễ theo.
Ảnh hưởng trực tiếp tới: [FE] F-18 Roll Dish; Code freeze + tích hợp Iteration 1: merge PR vào dev, chạy toàn hệ thống.
Cần xong trước khi bắt đầu: [BE] F-12 Browse Dish; Database: ANGIContext schema core, base class, initial migration; Backend: ExceptionHandlingMiddleware, cấu hình JWT, CORS, rate limit; Seed data: nhà hàng đã verify, món, user test cho mọi role.
Gặp vướng thì báo ngay trong ngày cho Dũng (PM), không đợi họp.
Use case F-18 Roll Dish (Actor: Traveler). Allows a Traveler to ask the system to randomly pick a dish from the set of suitable or supported dishes. The system selects a dish and shows the information needed for the user to discover a new dish.
Endpoint cần làm:
- DISH-03 POST /api/v1/dishes/roll
Ghi chú: Chỉ món của nhà hàng đã verify; xếp hạng qua RECO-05 rồi chọn, gửi RECO-06 cho món đã hiện; lưu dish_rolls.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F-12 Browse Dish.</t>
  </si>
  <si>
    <t>ANGI-78</t>
  </si>
  <si>
    <t>T022</t>
  </si>
  <si>
    <t>[FE] F-11 View Home Page</t>
  </si>
  <si>
    <t>Use case F-11 View Home Page (Actor: Guest, Traveler). Allows a Guest or Traveler to view the Home Page, which shows information such as trending dishes, top restaurants, highly interacted user blogs, web banners, etc.
Endpoint cần gọi:
- HOME-01 GET /api/v1/home
- IMP-01 POST /api/v1/impressions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</si>
  <si>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ANGI-79</t>
  </si>
  <si>
    <t>T100</t>
  </si>
  <si>
    <t>[FE] F-50 Manage Restaurant Menu</t>
  </si>
  <si>
    <t>Use case F-50 Manage Restaurant Menu (Actor: Restaurant Owner). Allows a Restaurant Owner to manage the restaurant's menu, including adding, editing, or removing dishes and related information. Changes may need to go through an approval process depending on the status of the restaurant and the menu.
Endpoint cần gọi:
- OWN-09 GET /api/v1/owner/restaurant/menu
- OWN-10 PUT /api/v1/owner/restaurant/menu/dishes/{dishId}/availability
- OWN-11 POST /api/v1/owner/restaurant/menu-submissions
- OWN-12 GET /api/v1/owner/restaurant/menu-submissions
- OWN-13 GET /api/v1/owner/restaurant/menu-submissions/{submissionId}
- OWN-14 POST /api/v1/owner/restaurant/menu-submissions/{submissionId}/items
- OWN-15 PATCH /api/v1/owner/restaurant/menu-submissions/{submissionId}/items/{itemId}
- OWN-16 DELETE /api/v1/owner/restaurant/menu-submissions/{submissionId}/items/{itemId}
- OWN-18 POST /api/v1/owner/restaurant/menu-submissions/{submissionId}/cancel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</si>
  <si>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ANGI-80</t>
  </si>
  <si>
    <t>T010</t>
  </si>
  <si>
    <t>[FE] F-05 Forgot Password</t>
  </si>
  <si>
    <t>Use case F-05 Forgot Password (Actor: Guest). Allows a user to request password recovery when they cannot remember their current password. The user provides the required identifying information; the system checks the account and then sends the information or link needed to reset the password.
Endpoint cần gọi:
- AUTH-08 POST /api/v1/auth/forgot-password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</si>
  <si>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ANGI-81</t>
  </si>
  <si>
    <t>T012</t>
  </si>
  <si>
    <t>[FE] F-06 Reset Password</t>
  </si>
  <si>
    <t>Use case F-06 Reset Password (Actor: Guest). Allows a user to set a new password through the password recovery process. The system verifies that the reset request is valid, checks the requirements for the new password, and updates the account's credentials.
Endpoint cần gọi:
- AUTH-09 POST /api/v1/auth/reset-password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</si>
  <si>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ANGI-82</t>
  </si>
  <si>
    <t>T008</t>
  </si>
  <si>
    <t>[FE] F-04 Login with Google</t>
  </si>
  <si>
    <t>Use case F-04 Login with Google (Actor: Guest). Allows a user to log in or register an ANGI account using a Google account. The system verifies the information from Google, finds or creates the corresponding ANGI account, and establishes a login session for the user.
Endpoint cần gọi:
- AUTH-05 POST /api/v1/auth/google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</si>
  <si>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ANGI-83</t>
  </si>
  <si>
    <t>T193</t>
  </si>
  <si>
    <t>Deploy staging lần đầu (Render + Vercel) từ nhánh dev</t>
  </si>
  <si>
    <t>Dựng sẵn môi trường trên Render (backend, reco, PostgreSQL + pgvector) và Vercel (frontend) từ nhánh dev: biến môi trường, chạy migration khi deploy, CORS, domain. Mục tiêu: lỗi môi trường lộ ra trước code freeze, ngày phát hành Software Package V1 chỉ còn việc deploy lại.</t>
  </si>
  <si>
    <t>ANGI-84</t>
  </si>
  <si>
    <t>T036</t>
  </si>
  <si>
    <t>[FE] F-18 Roll Dish</t>
  </si>
  <si>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Cần xong trước khi bắt đầu: Khung Next.js: layout, routing theo role, API client, auth guard, UI kit; Wireframe/mockup các màn hình Iteration 1.
Làm song song với [BE] F-18 Roll Dish (dùng mock data), nối API thật khi BE merge.
Gặp vướng thì báo ngay trong ngày cho Dũng (PM), không đợi họp.
Use case F-18 Roll Dish (Actor: Traveler). Allows a Traveler to ask the system to randomly pick a dish from the set of suitable or supported dishes. The system selects a dish and shows the information needed for the user to discover a new dish.
Endpoint cần gọi:
- DISH-03 POST /api/v1/dishes/roll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</si>
  <si>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frontend iteration1 critical-path</t>
  </si>
  <si>
    <t>ANGI-85</t>
  </si>
  <si>
    <t>T102</t>
  </si>
  <si>
    <t>[FE] F-51 Submit Menu for Approval</t>
  </si>
  <si>
    <t>[CRITICAL PATH] Task này nằm trên đường găng: dự phòng tối đa 1 ngày. Phải xong đúng Due Date 20/10/2026; trễ 1 ngày thì mốc "Software Package Version 1" (25/10/2026) bị trễ theo.
Ảnh hưởng trực tiếp tới: Code freeze + tích hợp Iteration 1: merge PR vào dev, chạy toàn hệ thống.
Cần xong trước khi bắt đầu: Khung Next.js: layout, routing theo role, API client, auth guard, UI kit; Wireframe/mockup các màn hình Iteration 1.
Làm song song với [BE] F-51 Submit Menu for Approval (dùng mock data), nối API thật khi BE merge.
Gặp vướng thì báo ngay trong ngày cho Dũng (PM), không đợi họp.
Use case F-51 Submit Menu for Approval (Actor: Restaurant Owner). Allows a Restaurant Owner to submit completed menu changes to the system for review and approval. The system moves the menu/submission to the pending approval status.
Endpoint cần gọi:
- OWN-17 POST /api/v1/owner/restaurant/menu-submissions/{submissionId}/submit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</si>
  <si>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ANGI-86</t>
  </si>
  <si>
    <t>T161</t>
  </si>
  <si>
    <t>Unit Testing Report Iteration 1</t>
  </si>
  <si>
    <t>Mỗi dev tối thiểu 2 method/module; Trọng tổng hợp.</t>
  </si>
  <si>
    <t>ANGI-87</t>
  </si>
  <si>
    <t>T174</t>
  </si>
  <si>
    <t>Report 5: Integration Test Cases Iteration 1</t>
  </si>
  <si>
    <t>[CRITICAL PATH] Task này nằm trên đường găng: dự phòng tối đa 1 ngày. Phải xong đúng Due Date 21/10/2026; trễ 1 ngày thì mốc "Software Package Version 1" (25/10/2026) bị trễ theo.
Ảnh hưởng trực tiếp tới: Report 5: Integration Test Report Iteration 1.
Gặp vướng thì báo ngay trong ngày cho Dũng (PM), không đợi họp.
Viết theo use case Iteration 1 (ANGI_Use_Case_Basic_Descriptions_Ver1.0) và endpoint tương ứng (ANGI_API_Design_Ver1.7).</t>
  </si>
  <si>
    <t>21/10/2026</t>
  </si>
  <si>
    <t>qa critical-path</t>
  </si>
  <si>
    <t>ANGI-88</t>
  </si>
  <si>
    <t>T171</t>
  </si>
  <si>
    <t>Code freeze + tích hợp Iteration 1: merge PR vào dev, chạy toàn hệ thống</t>
  </si>
  <si>
    <t>[CRITICAL PATH] Task này nằm trên đường găng: dự phòng tối đa 1 ngày. Phải xong đúng Due Date 21/10/2026; trễ 1 ngày thì mốc "Software Package Version 1" (25/10/2026) bị trễ theo.
Ảnh hưởng trực tiếp tới: Report 5: Integration Test Report Iteration 1.
Cần xong trước khi bắt đầu: toàn bộ 56 task code (BE, FE, Reco) của ANGI Sprint 1.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iteration-1. Sau đó Đức/Trọng chạy integration test; lỗi tìm được tạo issue Bug giao cho người làm feature đó, sửa trước ngày phát hành bản của iteration.</t>
  </si>
  <si>
    <t>release critical-path</t>
  </si>
  <si>
    <t>ANGI-89</t>
  </si>
  <si>
    <t>T175</t>
  </si>
  <si>
    <t>Report 5: Integration Test Report Iteration 1</t>
  </si>
  <si>
    <t>[CRITICAL PATH] Task này nằm trên đường găng: dự phòng tối đa 1 ngày. Phải xong đúng Due Date 23/10/2026; trễ 1 ngày thì mốc "Software Package Version 1" (25/10/2026) bị trễ theo.
Ảnh hưởng trực tiếp tới: Software Package Version 1 (deploy + release note).
Cần xong trước khi bắt đầu: Code freeze + tích hợp Iteration 1: merge PR vào dev, chạy toàn hệ thống; Report 5: Integration Test Cases Iteration 1.
Gặp vướng thì báo ngay trong ngày cho Dũng (PM), không đợi họp.
Chạy test case trên bản tag iteration-1; lỗi tạo issue Bug.</t>
  </si>
  <si>
    <t>22/10/2026</t>
  </si>
  <si>
    <t>23/10/2026</t>
  </si>
  <si>
    <t>ANGI-90</t>
  </si>
  <si>
    <t>T196</t>
  </si>
  <si>
    <t>Fix bug integration test Iteration 1 (backend)</t>
  </si>
  <si>
    <t>[CRITICAL PATH] Task này nằm trên đường găng: dự phòng tối đa 1 ngày. Phải xong đúng Due Date 24/10/2026; trễ 1 ngày thì mốc "Software Package Version 1" (25/10/2026) bị trễ theo.
Ảnh hưởng trực tiếp tới: Software Package Version 1 (deploy + release note).
Gặp vướng thì báo ngay trong ngày cho Dũng (PM), không đợi họp.
Sửa các Bug tạo ra từ Integration Test Iteration 1 thuộc phần mình làm, merge vào dev trước ngày phát hành Software Package V1. Không có bug thì đóng task.</t>
  </si>
  <si>
    <t>24/10/2026</t>
  </si>
  <si>
    <t>bugfix critical-path</t>
  </si>
  <si>
    <t>ANGI-91</t>
  </si>
  <si>
    <t>T197</t>
  </si>
  <si>
    <t>ANGI-92</t>
  </si>
  <si>
    <t>T198</t>
  </si>
  <si>
    <t>Fix bug integration test Iteration 1 (frontend)</t>
  </si>
  <si>
    <t>ANGI-93</t>
  </si>
  <si>
    <t>T199</t>
  </si>
  <si>
    <t>ANGI-94</t>
  </si>
  <si>
    <t>T200</t>
  </si>
  <si>
    <t>Fix bug integration test Iteration 1 (reco + hạ tầng)</t>
  </si>
  <si>
    <t>ANGI-95</t>
  </si>
  <si>
    <t>T194</t>
  </si>
  <si>
    <t>Wireframe/mockup các màn hình Iteration 2</t>
  </si>
  <si>
    <t>Theo các use case Iteration 2 trong ANGI_Use_Case_Basic_Descriptions_Ver1.0 (Roadmap, Feedback &amp; Report, Blog, Notification). Tuấn duyệt phần Roadmap.</t>
  </si>
  <si>
    <t>ANGI-96</t>
  </si>
  <si>
    <t>T162</t>
  </si>
  <si>
    <t>Report 3: SRS v1.1 (Detailed Requirements Iteration 2)</t>
  </si>
  <si>
    <t>ANGI-97</t>
  </si>
  <si>
    <t>T176</t>
  </si>
  <si>
    <t>Software Package Version 1 (deploy + release note)</t>
  </si>
  <si>
    <t>[CRITICAL PATH] Task này nằm trên đường găng: dự phòng tối đa 1 ngày. Phải xong đúng Due Date 25/10/2026; trễ 1 ngày thì đây chính là mốc giao nộp.
Cần xong trước khi bắt đầu: toàn bộ 7 task code (BE, FE, Reco) của ANGI Sprint 1.
Gặp vướng thì báo ngay trong ngày cho Dũng (PM), không đợi họp.
Deploy bản của iteration từ tag iteration-1 lên Render (backend, reco, PostgreSQL) và Vercel (frontend); viết release note liệt kê feature đã xong và lỗi còn tồn.</t>
  </si>
  <si>
    <t>ANGI-98</t>
  </si>
  <si>
    <t>T017</t>
  </si>
  <si>
    <t>[BE] F-09 View Notifications</t>
  </si>
  <si>
    <t>Use case F-09 View Notifications (Actor: Registered User). Allows a Registered User to view the list of notifications related to their account and activities in the system, such as submission review results, social interactions, or roadmap-related events.
Endpoint cần làm:
- NOTI-01 GET /api/v1/me/notifications
- NOTI-02 GET /api/v1/me/notifications/unread-count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</si>
  <si>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backend iteration2</t>
  </si>
  <si>
    <t>Đơn vị: story point. Dũng gánh thêm việc PM nên tải code để thấp hơn các bạn khác.</t>
  </si>
  <si>
    <t>ANGI-99</t>
  </si>
  <si>
    <t>T018</t>
  </si>
  <si>
    <t>[FE] F-09 View Notifications</t>
  </si>
  <si>
    <t>Use case F-09 View Notifications (Actor: Registered User). Allows a Registered User to view the list of notifications related to their account and activities in the system, such as submission review results, social interactions, or roadmap-related events.
Endpoint cần gọi:
- NOTI-01 GET /api/v1/me/notifications
- NOTI-02 GET /api/v1/me/notifications/unread-count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</si>
  <si>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frontend iteration2</t>
  </si>
  <si>
    <t>ANGI-100</t>
  </si>
  <si>
    <t>T019</t>
  </si>
  <si>
    <t>[BE] F-10 Mark Notification as Read</t>
  </si>
  <si>
    <t>Use case F-10 Mark Notification as Read (Actor: Registered User). Allows a Registered User to mark one or more notifications as read. The system updates the notification status to distinguish read from unread notifications.
Endpoint cần làm:
- NOTI-03 POST /api/v1/me/notifications/read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</si>
  <si>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ANGI-101</t>
  </si>
  <si>
    <t>T151</t>
  </si>
  <si>
    <t>Reco P2: Lưu like/dislike vào interaction_events (RECO-04 /feedback)</t>
  </si>
  <si>
    <t>Recommendation_System_Design_Ver1.0 mục 5.2.</t>
  </si>
  <si>
    <t>ANGI-102</t>
  </si>
  <si>
    <t>T020</t>
  </si>
  <si>
    <t>[FE] F-10 Mark Notification as Read</t>
  </si>
  <si>
    <t>Use case F-10 Mark Notification as Read (Actor: Registered User). Allows a Registered User to mark one or more notifications as read. The system updates the notification status to distinguish read from unread notifications.
Endpoint cần gọi:
- NOTI-03 POST /api/v1/me/notifications/read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</si>
  <si>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ANGI-103</t>
  </si>
  <si>
    <t>T037</t>
  </si>
  <si>
    <t>[BE] F-19 Plan New Roadmap</t>
  </si>
  <si>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làm:
- RM-01 POST /api/v1/roadmaps
- RM-04 PATCH /api/v1/roadmaps/{roadmapId}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</si>
  <si>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ANGI-104</t>
  </si>
  <si>
    <t>T038</t>
  </si>
  <si>
    <t>[FE] F-19 Plan New Roadmap</t>
  </si>
  <si>
    <t>Use case F-19 Plan New Roadmap (Actor: Traveler). Allows a Traveler to create a new food roadmap based on trip information and personal needs. The user provides constraints such as time, budget, and number of days; the system uses this information to create a roadmap of suitable dishes and places.
Endpoint cần gọi:
- RM-01 POST /api/v1/roadmaps
- RM-04 PATCH /api/v1/roadmaps/{roadmapId}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</si>
  <si>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ANGI-105</t>
  </si>
  <si>
    <t>T071</t>
  </si>
  <si>
    <t>[BE] F-36 Write Blog</t>
  </si>
  <si>
    <t>Use case F-36 Write Blog (Actor: Traveler). Allows a Traveler to write about their impressions and thoughts on a roadmap they have experienced. The user enters the required content; the system then validates it and saves the post in the appropriate status.
Endpoint cần làm:
- BLOG-04 POST /api/v1/blogs
- MEDIA-01 POST /api/v1/media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</si>
  <si>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ANGI-106</t>
  </si>
  <si>
    <t>T067</t>
  </si>
  <si>
    <t>[BE] F-34 View Public Blog</t>
  </si>
  <si>
    <t>Use case F-34 View Public Blog (Actor: Guest, Traveler). Allows a Guest or Traveler to view the list of public blog posts on ANGI. The system shows the posts allowed to be public along with their basic information so users can discover content.
Endpoint cần làm:
- BLOG-01 GET /api/v1/blogs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</si>
  <si>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ANGI-107</t>
  </si>
  <si>
    <t>T152</t>
  </si>
  <si>
    <t>Reco P2: Implicit score từ lịch sử tương tác</t>
  </si>
  <si>
    <t>Recommendation_System_Design_Ver1.0 mục 3.2. | Làm sau: Reco P2: Lưu like/dislike vào interaction_events (RECO-04 /feedback).</t>
  </si>
  <si>
    <t>ANGI-108</t>
  </si>
  <si>
    <t>T039</t>
  </si>
  <si>
    <t>[BE] F-20 View My Roadmap</t>
  </si>
  <si>
    <t>Use case F-20 View My Roadmap (Actor: Traveler). Allows a Traveler to view their own roadmaps, including trip information, schedule, dishes, restaurants, and the items arranged for each day.
Endpoint cần làm:
- RM-02 GET /api/v1/roadmaps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</si>
  <si>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28/10/2026</t>
  </si>
  <si>
    <t>ANGI-109</t>
  </si>
  <si>
    <t>T040</t>
  </si>
  <si>
    <t>[FE] F-20 View My Roadmap</t>
  </si>
  <si>
    <t>Use case F-20 View My Roadmap (Actor: Traveler). Allows a Traveler to view their own roadmaps, including trip information, schedule, dishes, restaurants, and the items arranged for each day.
Endpoint cần gọi:
- RM-02 GET /api/v1/roadmaps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</si>
  <si>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ANGI-110</t>
  </si>
  <si>
    <t>T069</t>
  </si>
  <si>
    <t>[BE] F-35 View Detail Blog</t>
  </si>
  <si>
    <t>Use case F-35 View Detail Blog (Actor: Guest, Traveler). Allows a Guest or Traveler to view the full content of a specific blog post, together with related information such as the author and the allowed interactions.
Endpoint cần làm:
- BLOG-02 GET /api/v1/blogs/{blogId}
- BLOG-03 GET /api/v1/blogs/{blogId}/comments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</si>
  <si>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ANGI-111</t>
  </si>
  <si>
    <t>T072</t>
  </si>
  <si>
    <t>[FE] F-36 Write Blog</t>
  </si>
  <si>
    <t>Use case F-36 Write Blog (Actor: Traveler). Allows a Traveler to write about their impressions and thoughts on a roadmap they have experienced. The user enters the required content; the system then validates it and saves the post in the appropriate status.
Endpoint cần gọi:
- BLOG-04 POST /api/v1/blogs
- MEDIA-01 POST /api/v1/media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</si>
  <si>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ANGI-112</t>
  </si>
  <si>
    <t>T163</t>
  </si>
  <si>
    <t>Report 4: SDS v1.2</t>
  </si>
  <si>
    <t>ANGI-113</t>
  </si>
  <si>
    <t>T041</t>
  </si>
  <si>
    <t>[BE] F-21 View My Roadmap Detail</t>
  </si>
  <si>
    <t>Use case F-21 View My Roadmap Detail (Actor: Traveler). Allows a Traveler to view the general information of a roadmap, including Overview, Itinerary, and Budget.
Endpoint cần làm:
- RM-03 GET /api/v1/roadmaps/{roadmapId}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</si>
  <si>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ANGI-114</t>
  </si>
  <si>
    <t>T042</t>
  </si>
  <si>
    <t>[FE] F-21 View My Roadmap Detail</t>
  </si>
  <si>
    <t>Use case F-21 View My Roadmap Detail (Actor: Traveler). Allows a Traveler to view the general information of a roadmap, including Overview, Itinerary, and Budget.
Endpoint cần gọi:
- RM-03 GET /api/v1/roadmaps/{roadmapId}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</si>
  <si>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ANGI-115</t>
  </si>
  <si>
    <t>T068</t>
  </si>
  <si>
    <t>[FE] F-34 View Public Blog</t>
  </si>
  <si>
    <t>Use case F-34 View Public Blog (Actor: Guest, Traveler). Allows a Guest or Traveler to view the list of public blog posts on ANGI. The system shows the posts allowed to be public along with their basic information so users can discover content.
Endpoint cần gọi:
- BLOG-01 GET /api/v1/blogs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</si>
  <si>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ANGI-116</t>
  </si>
  <si>
    <t>T073</t>
  </si>
  <si>
    <t>[BE] F-37 View My Blog</t>
  </si>
  <si>
    <t>Use case F-37 View My Blog (Actor: Traveler). Allows a Traveler to view the list of blog posts they have created, including the status and basic information of each post.
Endpoint cần làm:
- BLOG-05 GET /api/v1/me/blogs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</si>
  <si>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ANGI-117</t>
  </si>
  <si>
    <t>T043</t>
  </si>
  <si>
    <t>[BE] F-22 Delete My Roadmap</t>
  </si>
  <si>
    <t>Use case F-22 Delete My Roadmap (Actor: Traveler). Allows a Traveler to delete their roadmap. The system asks for confirmation if needed and removes the roadmap from the My Roadmap list without affecting other roadmaps.
Endpoint cần làm:
- RM-05 DELETE /api/v1/roadmaps/{roadmapId}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</si>
  <si>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29/10/2026</t>
  </si>
  <si>
    <t>ANGI-118</t>
  </si>
  <si>
    <t>T044</t>
  </si>
  <si>
    <t>[FE] F-22 Delete My Roadmap</t>
  </si>
  <si>
    <t>Use case F-22 Delete My Roadmap (Actor: Traveler). Allows a Traveler to delete their roadmap. The system asks for confirmation if needed and removes the roadmap from the My Roadmap list without affecting other roadmaps.
Endpoint cần gọi:
- RM-05 DELETE /api/v1/roadmaps/{roadmapId}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</si>
  <si>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ANGI-119</t>
  </si>
  <si>
    <t>T070</t>
  </si>
  <si>
    <t>[FE] F-35 View Detail Blog</t>
  </si>
  <si>
    <t>Use case F-35 View Detail Blog (Actor: Guest, Traveler). Allows a Guest or Traveler to view the full content of a specific blog post, together with related information such as the author and the allowed interactions.
Endpoint cần gọi:
- BLOG-02 GET /api/v1/blogs/{blogId}
- BLOG-03 GET /api/v1/blogs/{blogId}/comments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</si>
  <si>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ANGI-120</t>
  </si>
  <si>
    <t>T075</t>
  </si>
  <si>
    <t>[BE] F-38 Edit Blog</t>
  </si>
  <si>
    <t>Use case F-38 Edit Blog (Actor: Traveler). Allows a Traveler to edit the content and basic information of a blog post they created.
Endpoint cần làm:
- BLOG-06 PATCH /api/v1/blogs/{blogId}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</si>
  <si>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ANGI-121</t>
  </si>
  <si>
    <t>T153</t>
  </si>
  <si>
    <t>Reco P2: Personalized score + Community score + Final score</t>
  </si>
  <si>
    <t>Recommendation_System_Design_Ver1.0 mục 3.2–3.3. Deliverable: Personalized Score + Final Score. | Làm sau: Reco P2: Implicit score từ lịch sử tương tác.</t>
  </si>
  <si>
    <t>ANGI-122</t>
  </si>
  <si>
    <t>T077</t>
  </si>
  <si>
    <t>[BE] F-39 Delete Blog</t>
  </si>
  <si>
    <t>Use case F-39 Delete Blog (Actor: Traveler). Allows a Traveler to delete a blog post they created.
Endpoint cần làm:
- BLOG-07 DELETE /api/v1/blogs/{blogId}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</si>
  <si>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ANGI-123</t>
  </si>
  <si>
    <t>T049</t>
  </si>
  <si>
    <t>[BE] F-25 Add Dish and Place</t>
  </si>
  <si>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làm:
- RM-06 GET /api/v1/roadmaps/{roadmapId}/suggestions
- RM-07 POST /api/v1/roadmaps/{roadmapId}/days/{dayId}/items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</si>
  <si>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30/10/2026</t>
  </si>
  <si>
    <t>ANGI-124</t>
  </si>
  <si>
    <t>T050</t>
  </si>
  <si>
    <t>[FE] F-25 Add Dish and Place</t>
  </si>
  <si>
    <t>Use case F-25 Add Dish and Place (Actor: Traveler). Allows a Traveler to browse the system's recommended list of dishes with their corresponding places and select a dish and place. The system validates the item and adds it to the corresponding day or position in the roadmap.
Endpoint cần gọi:
- RM-06 GET /api/v1/roadmaps/{roadmapId}/suggestions
- RM-07 POST /api/v1/roadmaps/{roadmapId}/days/{dayId}/items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</si>
  <si>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ANGI-125</t>
  </si>
  <si>
    <t>T074</t>
  </si>
  <si>
    <t>[FE] F-37 View My Blog</t>
  </si>
  <si>
    <t>Use case F-37 View My Blog (Actor: Traveler). Allows a Traveler to view the list of blog posts they have created, including the status and basic information of each post.
Endpoint cần gọi:
- BLOG-05 GET /api/v1/me/blogs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</si>
  <si>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ANGI-126</t>
  </si>
  <si>
    <t>T079</t>
  </si>
  <si>
    <t>[BE] F-40 Interact With Blog</t>
  </si>
  <si>
    <t>Use case F-40 Interact With Blog (Actor: Traveler). Allows a Traveler to perform the interactions supported by the system on a blog post, such as commenting or other forms of interaction.
Endpoint cần làm:
- BLOG-08 PUT /api/v1/blogs/{blogId}/like
- BLOG-09 DELETE /api/v1/blogs/{blogId}/like
- BLOG-10 POST /api/v1/blogs/{blogId}/comments
- REP-02 POST /api/v1/blogs/{blogId}/reports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</si>
  <si>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ANGI-127</t>
  </si>
  <si>
    <t>T051</t>
  </si>
  <si>
    <t>[BE] F-26 Add Roadmap Item with AI Generation</t>
  </si>
  <si>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làm:
- RM-10 POST /api/v1/roadmaps/{roadmapId}/generate
- RM-11 GET /api/v1/roadmaps/{roadmapId}/generation-jobs/{jobId}
Ghi chú: Chạy nền: tạo roadmap_generation_jobs, app hỏi trạng thái qua RM-11. Ứng viên món lấy qua RECO-05. Làm sau F-19 của Hưng (tạo roadmap) để gắn phần sinh item vào.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Hưng review. | Làm sau: [BE] F-19 Plan New Roadmap.</t>
  </si>
  <si>
    <t>01/11/2026</t>
  </si>
  <si>
    <t>ANGI-128</t>
  </si>
  <si>
    <t>T047</t>
  </si>
  <si>
    <t>[BE] F-24 Add Roadmap Item Manually</t>
  </si>
  <si>
    <t>Use case F-24 Add Roadmap Item Manually (Actor: Traveler). Allows a Traveler to manually add a dish and its corresponding place from the system's recommendation list (UC Add Dish and Place) to the roadmap, without using the system's AI roadmap generation.
Endpoint cần làm:
- RM-07 POST /api/v1/roadmaps/{roadmapId}/days/{dayId}/items
- RM-06 GET /api/v1/roadmaps/{roadmapId}/suggestions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F-25 Add Dish and Place.</t>
  </si>
  <si>
    <t>ANGI-129</t>
  </si>
  <si>
    <t>T048</t>
  </si>
  <si>
    <t>[FE] F-24 Add Roadmap Item Manually</t>
  </si>
  <si>
    <t>Use case F-24 Add Roadmap Item Manually (Actor: Traveler). Allows a Traveler to manually add a dish and its corresponding place from the system's recommendation list (UC Add Dish and Place) to the roadmap, without using the system's AI roadmap generation.
Endpoint cần gọi:
- RM-07 POST /api/v1/roadmaps/{roadmapId}/days/{dayId}/items
- RM-06 GET /api/v1/roadmaps/{roadmapId}/suggestions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</si>
  <si>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ANGI-130</t>
  </si>
  <si>
    <t>T081</t>
  </si>
  <si>
    <t>[BE] F-41 Comment Blog</t>
  </si>
  <si>
    <t>Use case F-41 Comment Blog (Actor: Traveler). Allows a Traveler to write and post a comment on a blog post. The system checks the content against the required rules and saves the comment if it is valid.
Endpoint cần làm:
- BLOG-10 POST /api/v1/blogs/{blogId}/comments
- BLOG-11 DELETE /api/v1/blogs/{blogId}/comments/{commentId}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</si>
  <si>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ANGI-131</t>
  </si>
  <si>
    <t>T057</t>
  </si>
  <si>
    <t>[BE] F-29 View Roadmap Item Detail</t>
  </si>
  <si>
    <t>Use case F-29 View Roadmap Item Detail (Actor: Traveler). Allows a Traveler to view the details of a roadmap item, including the dish, the corresponding restaurant, location information, and other related data provided by the system.
Endpoint cần làm:
- RM-12 GET /api/v1/roadmaps/{roadmapId}/items/{itemId}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</si>
  <si>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ANGI-132</t>
  </si>
  <si>
    <t>T058</t>
  </si>
  <si>
    <t>[FE] F-29 View Roadmap Item Detail</t>
  </si>
  <si>
    <t>Use case F-29 View Roadmap Item Detail (Actor: Traveler). Allows a Traveler to view the details of a roadmap item, including the dish, the corresponding restaurant, location information, and other related data provided by the system.
Endpoint cần gọi:
- RM-12 GET /api/v1/roadmaps/{roadmapId}/items/{itemId}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</si>
  <si>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ANGI-133</t>
  </si>
  <si>
    <t>T076</t>
  </si>
  <si>
    <t>[FE] F-38 Edit Blog</t>
  </si>
  <si>
    <t>Use case F-38 Edit Blog (Actor: Traveler). Allows a Traveler to edit the content and basic information of a blog post they created.
Endpoint cần gọi:
- BLOG-06 PATCH /api/v1/blogs/{blogId}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</si>
  <si>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ANGI-134</t>
  </si>
  <si>
    <t>T083</t>
  </si>
  <si>
    <t>[BE] F-42 Report Blog</t>
  </si>
  <si>
    <t>Use case F-42 Report Blog (Actor: Traveler). Allows a Traveler to report a blog post they consider inappropriate or in violation of the rules. The system records the report and forwards the content to the moderation process.
Endpoint cần làm:
- REP-02 POST /api/v1/blogs/{blogId}/reports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</si>
  <si>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ANGI-135</t>
  </si>
  <si>
    <t>T078</t>
  </si>
  <si>
    <t>[FE] F-39 Delete Blog</t>
  </si>
  <si>
    <t>Use case F-39 Delete Blog (Actor: Traveler). Allows a Traveler to delete a blog post they created.
Endpoint cần gọi:
- BLOG-07 DELETE /api/v1/blogs/{blogId}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</si>
  <si>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ANGI-136</t>
  </si>
  <si>
    <t>T061</t>
  </si>
  <si>
    <t>[BE] F-31 Feedback Restaurant</t>
  </si>
  <si>
    <t>[CRITICAL PATH] Task này nằm trên đường găng: dự phòng tối đa 1 ngày. Phải xong đúng Due Date 01/11/2026; trễ 1 ngày thì mốc "Software Package Version 2" (08/11/2026) bị trễ theo.
Ảnh hưởng trực tiếp tới: [BE] F-32 Reply Feedback; Code freeze + tích hợp Iteration 2: merge PR vào dev, chạy toàn hệ thống.
Gặp vướng thì báo ngay trong ngày cho Dũng (PM), không đợi họp.
Use case F-31 Feedback Restaurant (Actor: Traveler). Allows a Traveler to give feedback on a restaurant based on their experience. The system stores the rating/review and updates the restaurant's rating data accordingly.
Endpoint cần làm:
- REV-01 POST /api/v1/restaurants/{restaurantId}/reviews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</si>
  <si>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backend iteration2 critical-path</t>
  </si>
  <si>
    <t>ANGI-137</t>
  </si>
  <si>
    <t>T052</t>
  </si>
  <si>
    <t>[FE] F-26 Add Roadmap Item with AI Generation</t>
  </si>
  <si>
    <t>Use case F-26 Add Roadmap Item with AI Generation (Actor: Traveler). Allows a Traveler to ask the system to automatically add suitable dishes and their corresponding places to the roadmap. Using the user's recommended dish list and the constraints provided earlier, the system generates a full roadmap with complete items; the user then reviews the whole journey and can edit any part if desired.
Endpoint cần gọi:
- RM-10 POST /api/v1/roadmaps/{roadmapId}/generate
- RM-11 GET /api/v1/roadmaps/{roadmapId}/generation-jobs/{jobId}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</si>
  <si>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ANGI-138</t>
  </si>
  <si>
    <t>T053</t>
  </si>
  <si>
    <t>[BE] F-27 Edit Roadmap Item</t>
  </si>
  <si>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làm:
- RM-08 PATCH /api/v1/roadmaps/{roadmapId}/items/{itemId}
- RM-06 GET /api/v1/roadmaps/{roadmapId}/suggestions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</si>
  <si>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ANGI-139</t>
  </si>
  <si>
    <t>T080</t>
  </si>
  <si>
    <t>[FE] F-40 Interact With Blog</t>
  </si>
  <si>
    <t>Use case F-40 Interact With Blog (Actor: Traveler). Allows a Traveler to perform the interactions supported by the system on a blog post, such as commenting or other forms of interaction.
Endpoint cần gọi:
- BLOG-08 PUT /api/v1/blogs/{blogId}/like
- BLOG-09 DELETE /api/v1/blogs/{blogId}/like
- BLOG-10 POST /api/v1/blogs/{blogId}/comments
- REP-02 POST /api/v1/blogs/{blogId}/reports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</si>
  <si>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ANGI-140</t>
  </si>
  <si>
    <t>T045</t>
  </si>
  <si>
    <t>[BE] F-23 Share My Roadmap</t>
  </si>
  <si>
    <t>[CRITICAL PATH] Task này nằm trên đường găng: dự phòng tối đa 1 ngày. Phải xong đúng Due Date 01/11/2026; trễ 1 ngày thì mốc "Software Package Version 2" (08/11/2026) bị trễ theo.
Ảnh hưởng trực tiếp tới: [FE] F-23 Share My Roadmap; Code freeze + tích hợp Iteration 2: merge PR vào dev, chạy toàn hệ thống.
Cần xong trước khi bắt đầu: [BE] F-36 Write Blog.
Gặp vướng thì báo ngay trong ngày cho Dũng (PM), không đợi họp.
Use case F-23 Share My Roadmap (Actor: Traveler). Allows a Traveler to share their roadmap with others through the sharing mechanism provided by the system. The user writes a blog post about the roadmap (UC Write Blog) before it is shared with the community.
Endpoint cần làm:
- BLOG-04 POST /api/v1/blogs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F-36 Write Blog.</t>
  </si>
  <si>
    <t>ANGI-141</t>
  </si>
  <si>
    <t>T063</t>
  </si>
  <si>
    <t>[BE] F-32 Reply Feedback</t>
  </si>
  <si>
    <t>[CRITICAL PATH] Task này nằm trên đường găng: dự phòng tối đa 1 ngày. Phải xong đúng Due Date 01/11/2026; trễ 1 ngày thì mốc "Software Package Version 2" (08/11/2026) bị trễ theo.
Ảnh hưởng trực tiếp tới: [FE] F-32 Reply Feedback; Code freeze + tích hợp Iteration 2: merge PR vào dev, chạy toàn hệ thống.
Cần xong trước khi bắt đầu: [BE] F-31 Feedback Restaurant.
Gặp vướng thì báo ngay trong ngày cho Dũng (PM), không đợi họp.
Use case F-32 Reply Feedback (Actor: Restaurant Owner). Allows a Restaurant Owner to reply to users' feedback/reviews on their restaurant. The system stores the reply and displays it according to the platform's display rules.
Endpoint cần làm:
- OWN-19 GET /api/v1/owner/restaurant/reviews
- OWN-20 PUT /api/v1/owner/restaurant/reviews/{reviewId}/reply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F-31 Feedback Restaurant.</t>
  </si>
  <si>
    <t>ANGI-142</t>
  </si>
  <si>
    <t>T065</t>
  </si>
  <si>
    <t>[BE] F-33 Report Restaurant</t>
  </si>
  <si>
    <t>[CRITICAL PATH] Task này nằm trên đường găng: dự phòng tối đa 1 ngày. Phải xong đúng Due Date 01/11/2026; trễ 1 ngày thì mốc "Software Package Version 2" (08/11/2026) bị trễ theo.
Ảnh hưởng trực tiếp tới: [FE] F-33 Report Restaurant; Code freeze + tích hợp Iteration 2: merge PR vào dev, chạy toàn hệ thống.
Gặp vướng thì báo ngay trong ngày cho Dũng (PM), không đợi họp.
Use case F-33 Report Restaurant (Actor: Traveler). Allows a Traveler to report a restaurant when they find incorrect information, inappropriate behavior, or other issues that need to be reviewed. The system records the report and forwards it to the handling process.
Endpoint cần làm:
- REP-01 POST /api/v1/restaurants/{restaurantId}/reports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</si>
  <si>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ANGI-143</t>
  </si>
  <si>
    <t>T055</t>
  </si>
  <si>
    <t>[BE] F-28 Delete Roadmap Item</t>
  </si>
  <si>
    <t>Use case F-28 Delete Roadmap Item (Actor: Traveler). Allows a Traveler to remove a dish and its corresponding place from the current roadmap. The system asks for confirmation if needed and removes the item without affecting other items.
Endpoint cần làm:
- RM-09 DELETE /api/v1/roadmaps/{roadmapId}/items/{itemId}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</si>
  <si>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ANGI-144</t>
  </si>
  <si>
    <t>T082</t>
  </si>
  <si>
    <t>[FE] F-41 Comment Blog</t>
  </si>
  <si>
    <t>Use case F-41 Comment Blog (Actor: Traveler). Allows a Traveler to write and post a comment on a blog post. The system checks the content against the required rules and saves the comment if it is valid.
Endpoint cần gọi:
- BLOG-10 POST /api/v1/blogs/{blogId}/comments
- BLOG-11 DELETE /api/v1/blogs/{blogId}/comments/{commentId}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</si>
  <si>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ANGI-145</t>
  </si>
  <si>
    <t>T059</t>
  </si>
  <si>
    <t>[BE] F-30 Rate Dish</t>
  </si>
  <si>
    <t>[CRITICAL PATH] Task này nằm trên đường găng: dự phòng tối đa 1 ngày. Phải xong đúng Due Date 02/11/2026; trễ 1 ngày thì mốc "Software Package Version 2" (08/11/2026) bị trễ theo.
Ảnh hưởng trực tiếp tới: Code freeze + tích hợp Iteration 2: merge PR vào dev, chạy toàn hệ thống.
Cần xong trước khi bắt đầu: Reco P2: Lưu like/dislike vào interaction_events (RECO-04 /feedback); [BE] F-29 View Roadmap Item Detail.
Gặp vướng thì báo ngay trong ngày cho Dũng (PM), không đợi họp.
Use case F-30 Rate Dish (Actor: Traveler). Allows a Traveler to rate how much they like a dish after interacting with or trying it. The system stores the user's rating (like/dislike) and uses it as implicit/explicit feedback to personalize recommendations.
Endpoint cần làm:
- RM-13 POST /api/v1/roadmaps/{roadmapId}/items/{itemId}/feedback
Ghi chú: Like/dislike 1 lần mỗi roadmap item (dish_feedbacks). Ghi outbox FEEDBACK_CREATED trong cùng transaction, không gọi reco trực tiếp.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Hưng review. | Làm sau: Reco P2: Lưu like/dislike vào interaction_events (RECO-04 /feedback), [BE] F-29 View Roadmap Item Detail.</t>
  </si>
  <si>
    <t>ANGI-146</t>
  </si>
  <si>
    <t>T054</t>
  </si>
  <si>
    <t>[FE] F-27 Edit Roadmap Item</t>
  </si>
  <si>
    <t>Use case F-27 Edit Roadmap Item (Actor: Traveler). Allows a Traveler to replace an existing roadmap item with a more suitable one. For example, if breakfast is currently “Bún bò”, the user can pick another dish from the system's recommendation list to replace it, and the restaurant location changes accordingly. The system validates the change and updates the roadmap.
Endpoint cần gọi:
- RM-08 PATCH /api/v1/roadmaps/{roadmapId}/items/{itemId}
- RM-06 GET /api/v1/roadmaps/{roadmapId}/suggestions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</si>
  <si>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ANGI-147</t>
  </si>
  <si>
    <t>T084</t>
  </si>
  <si>
    <t>[FE] F-42 Report Blog</t>
  </si>
  <si>
    <t>Use case F-42 Report Blog (Actor: Traveler). Allows a Traveler to report a blog post they consider inappropriate or in violation of the rules. The system records the report and forwards the content to the moderation process.
Endpoint cần gọi:
- REP-02 POST /api/v1/blogs/{blogId}/reports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</si>
  <si>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ANGI-148</t>
  </si>
  <si>
    <t>T056</t>
  </si>
  <si>
    <t>[FE] F-28 Delete Roadmap Item</t>
  </si>
  <si>
    <t>Use case F-28 Delete Roadmap Item (Actor: Traveler). Allows a Traveler to remove a dish and its corresponding place from the current roadmap. The system asks for confirmation if needed and removes the item without affecting other items.
Endpoint cần gọi:
- RM-09 DELETE /api/v1/roadmaps/{roadmapId}/items/{itemId}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</si>
  <si>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ANGI-149</t>
  </si>
  <si>
    <t>T062</t>
  </si>
  <si>
    <t>[FE] F-31 Feedback Restaurant</t>
  </si>
  <si>
    <t>Use case F-31 Feedback Restaurant (Actor: Traveler). Allows a Traveler to give feedback on a restaurant based on their experience. The system stores the rating/review and updates the restaurant's rating data accordingly.
Endpoint cần gọi:
- REV-01 POST /api/v1/restaurants/{restaurantId}/reviews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</si>
  <si>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ANGI-150</t>
  </si>
  <si>
    <t>T064</t>
  </si>
  <si>
    <t>[FE] F-32 Reply Feedback</t>
  </si>
  <si>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F-32 Reply Feedback (dùng mock data), nối API thật khi BE merge.
Gặp vướng thì báo ngay trong ngày cho Dũng (PM), không đợi họp.
Use case F-32 Reply Feedback (Actor: Restaurant Owner). Allows a Restaurant Owner to reply to users' feedback/reviews on their restaurant. The system stores the reply and displays it according to the platform's display rules.
Endpoint cần gọi:
- OWN-19 GET /api/v1/owner/restaurant/reviews
- OWN-20 PUT /api/v1/owner/restaurant/reviews/{reviewId}/reply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</si>
  <si>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frontend iteration2 critical-path</t>
  </si>
  <si>
    <t>ANGI-151</t>
  </si>
  <si>
    <t>T060</t>
  </si>
  <si>
    <t>[FE] F-30 Rate Dish</t>
  </si>
  <si>
    <t>Use case F-30 Rate Dish (Actor: Traveler). Allows a Traveler to rate how much they like a dish after interacting with or trying it. The system stores the user's rating (like/dislike) and uses it as implicit/explicit feedback to personalize recommendations.
Endpoint cần gọi:
- RM-13 POST /api/v1/roadmaps/{roadmapId}/items/{itemId}/feedback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</si>
  <si>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ANGI-152</t>
  </si>
  <si>
    <t>T046</t>
  </si>
  <si>
    <t>[FE] F-23 Share My Roadmap</t>
  </si>
  <si>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F-23 Share My Roadmap (dùng mock data), nối API thật khi BE merge.
Gặp vướng thì báo ngay trong ngày cho Dũng (PM), không đợi họp.
Use case F-23 Share My Roadmap (Actor: Traveler). Allows a Traveler to share their roadmap with others through the sharing mechanism provided by the system. The user writes a blog post about the roadmap (UC Write Blog) before it is shared with the community.
Endpoint cần gọi:
- BLOG-04 POST /api/v1/blogs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</si>
  <si>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ANGI-153</t>
  </si>
  <si>
    <t>T066</t>
  </si>
  <si>
    <t>[FE] F-33 Report Restaurant</t>
  </si>
  <si>
    <t>[CRITICAL PATH] Task này nằm trên đường găng: dự phòng tối đa 1 ngày. Phải xong đúng Due Date 03/11/2026; trễ 1 ngày thì mốc "Software Package Version 2" (08/11/2026) bị trễ theo.
Ảnh hưởng trực tiếp tới: Code freeze + tích hợp Iteration 2: merge PR vào dev, chạy toàn hệ thống.
Cần xong trước khi bắt đầu: Wireframe/mockup các màn hình Iteration 2.
Làm song song với [BE] F-33 Report Restaurant (dùng mock data), nối API thật khi BE merge.
Gặp vướng thì báo ngay trong ngày cho Dũng (PM), không đợi họp.
Use case F-33 Report Restaurant (Actor: Traveler). Allows a Traveler to report a restaurant when they find incorrect information, inappropriate behavior, or other issues that need to be reviewed. The system records the report and forwards it to the handling process.
Endpoint cần gọi:
- REP-01 POST /api/v1/restaurants/{restaurantId}/reports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</si>
  <si>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ANGI-154</t>
  </si>
  <si>
    <t>T164</t>
  </si>
  <si>
    <t>Unit Testing Report Iteration 2</t>
  </si>
  <si>
    <t>ANGI-155</t>
  </si>
  <si>
    <t>T177</t>
  </si>
  <si>
    <t>Report 5: Integration Test Cases Iteration 2</t>
  </si>
  <si>
    <t>[CRITICAL PATH] Task này nằm trên đường găng: dự phòng tối đa 1 ngày. Phải xong đúng Due Date 04/11/2026; trễ 1 ngày thì mốc "Software Package Version 2" (08/11/2026) bị trễ theo.
Ảnh hưởng trực tiếp tới: Report 5: Integration Test Report Iteration 2.
Gặp vướng thì báo ngay trong ngày cho Dũng (PM), không đợi họp.
Viết theo use case Iteration 2 (ANGI_Use_Case_Basic_Descriptions_Ver1.0) và endpoint tương ứng (ANGI_API_Design_Ver1.7).</t>
  </si>
  <si>
    <t>04/11/2026</t>
  </si>
  <si>
    <t>ANGI-156</t>
  </si>
  <si>
    <t>T172</t>
  </si>
  <si>
    <t>Code freeze + tích hợp Iteration 2: merge PR vào dev, chạy toàn hệ thống</t>
  </si>
  <si>
    <t>[CRITICAL PATH] Task này nằm trên đường găng: dự phòng tối đa 1 ngày. Phải xong đúng Due Date 04/11/2026; trễ 1 ngày thì mốc "Software Package Version 2" (08/11/2026) bị trễ theo.
Ảnh hưởng trực tiếp tới: Report 5: Integration Test Report Iteration 2.
Cần xong trước khi bắt đầu: toàn bộ 55 task code (BE, FE, Reco) của ANGI Sprint 2.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iteration-2. Sau đó Đức/Trọng chạy integration test; lỗi tìm được tạo issue Bug giao cho người làm feature đó, sửa trước ngày phát hành bản của iteration.</t>
  </si>
  <si>
    <t>ANGI-157</t>
  </si>
  <si>
    <t>T178</t>
  </si>
  <si>
    <t>Report 5: Integration Test Report Iteration 2</t>
  </si>
  <si>
    <t>[CRITICAL PATH] Task này nằm trên đường găng: dự phòng tối đa 1 ngày. Phải xong đúng Due Date 06/11/2026; trễ 1 ngày thì mốc "Software Package Version 2" (08/11/2026) bị trễ theo.
Ảnh hưởng trực tiếp tới: Software Package Version 2 (deploy + release note).
Cần xong trước khi bắt đầu: Code freeze + tích hợp Iteration 2: merge PR vào dev, chạy toàn hệ thống; Report 5: Integration Test Cases Iteration 2.
Gặp vướng thì báo ngay trong ngày cho Dũng (PM), không đợi họp.
Chạy test case trên bản tag iteration-2; lỗi tạo issue Bug.</t>
  </si>
  <si>
    <t>05/11/2026</t>
  </si>
  <si>
    <t>06/11/2026</t>
  </si>
  <si>
    <t>ANGI-158</t>
  </si>
  <si>
    <t>T201</t>
  </si>
  <si>
    <t>Fix bug integration test Iteration 2 (backend)</t>
  </si>
  <si>
    <t>[CRITICAL PATH] Task này nằm trên đường găng: dự phòng tối đa 1 ngày. Phải xong đúng Due Date 07/11/2026; trễ 1 ngày thì mốc "Software Package Version 2" (08/11/2026) bị trễ theo.
Ảnh hưởng trực tiếp tới: Software Package Version 2 (deploy + release note).
Gặp vướng thì báo ngay trong ngày cho Dũng (PM), không đợi họp.
Sửa các Bug tạo ra từ Integration Test Iteration 2 thuộc phần mình làm, merge vào dev trước ngày phát hành Software Package V2. Không có bug thì đóng task.</t>
  </si>
  <si>
    <t>07/11/2026</t>
  </si>
  <si>
    <t>ANGI-159</t>
  </si>
  <si>
    <t>T202</t>
  </si>
  <si>
    <t>ANGI-160</t>
  </si>
  <si>
    <t>T203</t>
  </si>
  <si>
    <t>Fix bug integration test Iteration 2 (frontend)</t>
  </si>
  <si>
    <t>ANGI-161</t>
  </si>
  <si>
    <t>T204</t>
  </si>
  <si>
    <t>ANGI-162</t>
  </si>
  <si>
    <t>T205</t>
  </si>
  <si>
    <t>Fix bug integration test Iteration 2 (reco + hạ tầng)</t>
  </si>
  <si>
    <t>ANGI-163</t>
  </si>
  <si>
    <t>T195</t>
  </si>
  <si>
    <t>Wireframe/mockup các màn hình Iteration 3</t>
  </si>
  <si>
    <t>Theo các use case Iteration 3 trong ANGI_Use_Case_Basic_Descriptions_Ver1.0 (Moderation, Administration). Tuấn duyệt phần Admin.</t>
  </si>
  <si>
    <t>ANGI-164</t>
  </si>
  <si>
    <t>T165</t>
  </si>
  <si>
    <t>Report 3: SRS v1.2 (Detailed Requirements Iteration 3)</t>
  </si>
  <si>
    <t>ANGI-165</t>
  </si>
  <si>
    <t>T179</t>
  </si>
  <si>
    <t>Software Package Version 2 (deploy + release note)</t>
  </si>
  <si>
    <t>[CRITICAL PATH] Task này nằm trên đường găng: dự phòng tối đa 1 ngày. Phải xong đúng Due Date 08/11/2026; trễ 1 ngày thì đây chính là mốc giao nộp.
Cần xong trước khi bắt đầu: Report 5: Integration Test Report Iteration 2; Fix bug integration test Iteration 2 (backend); Fix bug integration test Iteration 2 (backend); Fix bug integration test Iteration 2 (frontend); Fix bug integration test Iteration 2 (frontend); Fix bug integration test Iteration 2 (reco + hạ tầng).
Gặp vướng thì báo ngay trong ngày cho Dũng (PM), không đợi họp.
Deploy bản của iteration từ tag iteration-2 lên Render (backend, reco, PostgreSQL) và Vercel (frontend); viết release note liệt kê feature đã xong và lỗi còn tồn.</t>
  </si>
  <si>
    <t>ANGI-166</t>
  </si>
  <si>
    <t>T103</t>
  </si>
  <si>
    <t>[BE] F-52 Moderate User</t>
  </si>
  <si>
    <t>Use case F-52 Moderate User (Actor: Mod). Allows a Mod to review and handle user accounts when violations or issues requiring moderation are detected. The system provides the necessary information and allows the Mod to perform the actions they are authorized for.
Endpoint cần làm:
- MOD-U1 GET /api/v1/mod/users
- MOD-U2 GET /api/v1/mod/users/{userId}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</si>
  <si>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backend iteration3</t>
  </si>
  <si>
    <t>ANGI-167</t>
  </si>
  <si>
    <t>T104</t>
  </si>
  <si>
    <t>[FE] F-52 Moderate User</t>
  </si>
  <si>
    <t>Use case F-52 Moderate User (Actor: Mod). Allows a Mod to review and handle user accounts when violations or issues requiring moderation are detected. The system provides the necessary information and allows the Mod to perform the actions they are authorized for.
Endpoint cần gọi:
- MOD-U1 GET /api/v1/mod/users
- MOD-U2 GET /api/v1/mod/users/{userId}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</si>
  <si>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10/11/2026</t>
  </si>
  <si>
    <t>frontend iteration3</t>
  </si>
  <si>
    <t>ANGI-168</t>
  </si>
  <si>
    <t>T119</t>
  </si>
  <si>
    <t>[BE] F-60 Handle Social Report</t>
  </si>
  <si>
    <t>Use case F-60 Handle Social Report (Actor: Mod). Allows a Mod to handle reports related to social content such as blog posts or comments. The handler reviews the content and report information and takes the appropriate action according to the moderation policy.
Endpoint cần làm:
- MOD-RP1 GET /api/v1/mod/reports
- MOD-RP2 GET /api/v1/mod/reports/{reportId}
- MOD-RP3 POST /api/v1/mod/reports/{reportId}/claim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</si>
  <si>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ANGI-169</t>
  </si>
  <si>
    <t>T131</t>
  </si>
  <si>
    <t>[BE] F-66 Manage Permission</t>
  </si>
  <si>
    <t>Use case F-66 Manage Permission (Actor: Admin). Allows an Admin to manage the access permissions of Mods in the system. The Admin can view and update the allowed permissions according to ANGI's authorization policy.
Endpoint cần làm:
- ADM-P1 GET /api/v1/admin/permissions
- ADM-P2 GET /api/v1/admin/mods/{userId}/permissions
- ADM-P3 PUT /api/v1/admin/mods/{userId}/permissions
- ADM-P4 PUT /api/v1/admin/roles/MOD/permissions
Ghi chú: Quyền hiệu lực = quyền mặc định của role + allow − deny (user_permissions), đọc từ DB, không nằm trong JWT.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</si>
  <si>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ANGI-170</t>
  </si>
  <si>
    <t>T132</t>
  </si>
  <si>
    <t>[FE] F-66 Manage Permission</t>
  </si>
  <si>
    <t>Use case F-66 Manage Permission (Actor: Admin). Allows an Admin to manage the access permissions of Mods in the system. The Admin can view and update the allowed permissions according to ANGI's authorization policy.
Endpoint cần gọi:
- ADM-P1 GET /api/v1/admin/permissions
- ADM-P2 GET /api/v1/admin/mods/{userId}/permissions
- ADM-P3 PUT /api/v1/admin/mods/{userId}/permissions
- ADM-P4 PUT /api/v1/admin/roles/MOD/permissions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</si>
  <si>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ANGI-171</t>
  </si>
  <si>
    <t>T154</t>
  </si>
  <si>
    <t>Reco P3: Exploration UCB + Recommend score</t>
  </si>
  <si>
    <t>Recommendation_System_Design_Ver1.0 mục 3.4. Deliverable: Exploration Score + Recommend Score.</t>
  </si>
  <si>
    <t>12/11/2026</t>
  </si>
  <si>
    <t>ANGI-172</t>
  </si>
  <si>
    <t>T105</t>
  </si>
  <si>
    <t>[BE] F-53 Suspend/Ban User</t>
  </si>
  <si>
    <t>Use case F-53 Suspend/Ban User (Actor: Mod). Allows a Mod to suspend or ban a user account according to the permitted level of action. The system updates the account status and prevents the user from using features they are no longer allowed to use.
Endpoint cần làm:
- MOD-U3 POST /api/v1/mod/users/{userId}/sanctions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</si>
  <si>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11/11/2026</t>
  </si>
  <si>
    <t>ANGI-173</t>
  </si>
  <si>
    <t>T120</t>
  </si>
  <si>
    <t>[FE] F-60 Handle Social Report</t>
  </si>
  <si>
    <t>Use case F-60 Handle Social Report (Actor: Mod). Allows a Mod to handle reports related to social content such as blog posts or comments. The handler reviews the content and report information and takes the appropriate action according to the moderation policy.
Endpoint cần gọi:
- MOD-RP1 GET /api/v1/mod/reports
- MOD-RP2 GET /api/v1/mod/reports/{reportId}
- MOD-RP3 POST /api/v1/mod/reports/{reportId}/claim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</si>
  <si>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ANGI-174</t>
  </si>
  <si>
    <t>T129</t>
  </si>
  <si>
    <t>[BE] F-65 Manage Mod</t>
  </si>
  <si>
    <t>Use case F-65 Manage Mod (Actor: Admin). Allows an Admin to manage accounts with the Moderator role, including assigning permissions, updating status, or changing roles according to system policy.
Endpoint cần làm:
- ADM-M1 GET /api/v1/admin/mods
- ADM-M2 POST /api/v1/admin/mods
- ADM-M3 GET /api/v1/admin/mods/{userId}
- ADM-M4 PATCH /api/v1/admin/mods/{userId}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</si>
  <si>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ANGI-175</t>
  </si>
  <si>
    <t>T130</t>
  </si>
  <si>
    <t>[FE] F-65 Manage Mod</t>
  </si>
  <si>
    <t>Use case F-65 Manage Mod (Actor: Admin). Allows an Admin to manage accounts with the Moderator role, including assigning permissions, updating status, or changing roles according to system policy.
Endpoint cần gọi:
- ADM-M1 GET /api/v1/admin/mods
- ADM-M2 POST /api/v1/admin/mods
- ADM-M3 GET /api/v1/admin/mods/{userId}
- ADM-M4 PATCH /api/v1/admin/mods/{userId}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</si>
  <si>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ANGI-176</t>
  </si>
  <si>
    <t>T166</t>
  </si>
  <si>
    <t>Report 4: SDS v1.3</t>
  </si>
  <si>
    <t>ANGI-177</t>
  </si>
  <si>
    <t>T113</t>
  </si>
  <si>
    <t>[BE] F-57 Review Verification Submission</t>
  </si>
  <si>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làm:
- MOD-V1 GET /api/v1/mod/verifications
- MOD-V2 GET /api/v1/mod/verifications/{verificationId}
- MOD-V3 POST /api/v1/mod/verifications/{verificationId}/decision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F-66 Manage Permission.</t>
  </si>
  <si>
    <t>ANGI-178</t>
  </si>
  <si>
    <t>T121</t>
  </si>
  <si>
    <t>[BE] F-61 Moderate User Blog</t>
  </si>
  <si>
    <t>Use case F-61 Moderate User Blog (Actor: Mod). Allows a Mod to review and handle user-created blog posts when they are reported or need moderation. The available actions depend on the Mod's permissions.
Endpoint cần làm:
- MOD-B1 GET /api/v1/mod/blogs
- MOD-B2 PUT /api/v1/mod/blogs/{blogId}/status
- MOD-B3 PUT /api/v1/mod/blog-comments/{commentId}/status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</si>
  <si>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ANGI-179</t>
  </si>
  <si>
    <t>T106</t>
  </si>
  <si>
    <t>[FE] F-53 Suspend/Ban User</t>
  </si>
  <si>
    <t>Use case F-53 Suspend/Ban User (Actor: Mod). Allows a Mod to suspend or ban a user account according to the permitted level of action. The system updates the account status and prevents the user from using features they are no longer allowed to use.
Endpoint cần gọi:
- MOD-U3 POST /api/v1/mod/users/{userId}/sanctions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</si>
  <si>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13/11/2026</t>
  </si>
  <si>
    <t>ANGI-180</t>
  </si>
  <si>
    <t>T126</t>
  </si>
  <si>
    <t>[FE] F-63 View Dashboard</t>
  </si>
  <si>
    <t>Use case F-63 View Dashboard (Actor: Admin). Allows an Admin to view an overview dashboard of system activity. The dashboard provides the statistics and metrics the Admin needs to monitor users, restaurants, content, recommendations, and administrative activities.
Endpoint cần gọi:
- ADM-D1 GET /api/v1/admin/dashboard/summary
- ADM-D2 GET /api/v1/admin/dashboard/timeseries
- ADM-D3 GET /api/v1/admin/dashboard/top
- OPS-01 GET /api/v1/admin/outbox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</si>
  <si>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ANGI-181</t>
  </si>
  <si>
    <t>T107</t>
  </si>
  <si>
    <t>[BE] F-54 Unban User</t>
  </si>
  <si>
    <t>Use case F-54 Unban User (Actor: Mod). Allows a Mod to lift the ban on an account when it is eligible to be restored. The system updates the account status and restores the corresponding permissions.
Endpoint cần làm:
- MOD-U4 POST /api/v1/mod/users/{userId}/unban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</si>
  <si>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ANGI-182</t>
  </si>
  <si>
    <t>T123</t>
  </si>
  <si>
    <t>[BE] F-62 Moderate User Feedback</t>
  </si>
  <si>
    <t>Use case F-62 Moderate User Feedback (Actor: Mod). Allows a Mod to review and handle feedback or reviews submitted by users when the content is reported or violates the rules.
Endpoint cần làm:
- MOD-F1 GET /api/v1/mod/reviews
- MOD-F2 PUT /api/v1/mod/reviews/{reviewId}/status
- MOD-F3 PUT /api/v1/mod/reviews/{reviewId}/reply/status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</si>
  <si>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ANGI-183</t>
  </si>
  <si>
    <t>T115</t>
  </si>
  <si>
    <t>[BE] F-58 Review Pending Menu Submission</t>
  </si>
  <si>
    <t>Use case F-58 Review Pending Menu Submission (Actor: Mod). Allows a Mod to view and review a restaurant's menu submission awaiting approval, including the restaurant's menu information. The reviewer can approve or reject it according to the system's process.
Endpoint cần làm:
- MOD-M1 GET /api/v1/mod/menu-submissions
- MOD-M2 GET /api/v1/mod/menu-submissions/{submissionId}
- MOD-M3 POST /api/v1/mod/menu-submissions/{submissionId}/approve
- MOD-M4 POST /api/v1/mod/menu-submissions/{submissionId}/reject
Ghi chú: Duyệt thì thay menu trong 1 transaction, giữ dish_id của món được sửa; ghi outbox DISH_UPSERTED / DISH_DEACTIVATED.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 | Làm sau: [BE] F-66 Manage Permission.</t>
  </si>
  <si>
    <t>14/11/2026</t>
  </si>
  <si>
    <t>ANGI-184</t>
  </si>
  <si>
    <t>T155</t>
  </si>
  <si>
    <t>Reco P3: Đánh giá offline (bộ kịch bản + metric) cho báo cáo</t>
  </si>
  <si>
    <t>So sánh các bộ tham số ở Recommendation_System_Design_Ver1.0 mục 3.5 dựa trên recommendation_logs / recommendation_items. | Làm sau: Reco P3: Exploration UCB + Recommend score.</t>
  </si>
  <si>
    <t>ANGI-185</t>
  </si>
  <si>
    <t>T109</t>
  </si>
  <si>
    <t>[BE] F-55 View User Audit Logs</t>
  </si>
  <si>
    <t>Use case F-55 View User Audit Logs (Actor: Mod). Allows a Mod to view the history of important activities related to user accounts. The system shows the audit records needed to support activity tracking and review.
Endpoint cần làm:
- MOD-U5 GET /api/v1/mod/users/{userId}/audit-logs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</si>
  <si>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ANGI-186</t>
  </si>
  <si>
    <t>T122</t>
  </si>
  <si>
    <t>[FE] F-61 Moderate User Blog</t>
  </si>
  <si>
    <t>Use case F-61 Moderate User Blog (Actor: Mod). Allows a Mod to review and handle user-created blog posts when they are reported or need moderation. The available actions depend on the Mod's permissions.
Endpoint cần gọi:
- MOD-B1 GET /api/v1/mod/blogs
- MOD-B2 PUT /api/v1/mod/blogs/{blogId}/status
- MOD-B3 PUT /api/v1/mod/blog-comments/{commentId}/status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</si>
  <si>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ANGI-187</t>
  </si>
  <si>
    <t>T128</t>
  </si>
  <si>
    <t>[FE] F-64 View System Audits Log</t>
  </si>
  <si>
    <t>Use case F-64 View System Audits Log (Actor: Admin). Allows an Admin to view the history of important actions recorded by the system, including administrative operations, data changes, and events needed for auditing and troubleshooting.
Endpoint cần gọi:
- ADM-A1 GET /api/v1/admin/audit-logs
- ADM-A2 GET /api/v1/admin/audit-logs/{auditLogId}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</si>
  <si>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ANGI-188</t>
  </si>
  <si>
    <t>T125</t>
  </si>
  <si>
    <t>[BE] F-63 View Dashboard</t>
  </si>
  <si>
    <t>Use case F-63 View Dashboard (Actor: Admin). Allows an Admin to view an overview dashboard of system activity. The dashboard provides the statistics and metrics the Admin needs to monitor users, restaurants, content, recommendations, and administrative activities.
Endpoint cần làm:
- ADM-D1 GET /api/v1/admin/dashboard/summary
- ADM-D2 GET /api/v1/admin/dashboard/timeseries
- ADM-D3 GET /api/v1/admin/dashboard/top
- OPS-01 GET /api/v1/admin/outbox
Ghi chú: Chỉ đọc schema core. Có thêm OPS-01 để Admin xem outbox bị lỗi.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</si>
  <si>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15/11/2026</t>
  </si>
  <si>
    <t>ANGI-189</t>
  </si>
  <si>
    <t>T108</t>
  </si>
  <si>
    <t>[FE] F-54 Unban User</t>
  </si>
  <si>
    <t>Use case F-54 Unban User (Actor: Mod). Allows a Mod to lift the ban on an account when it is eligible to be restored. The system updates the account status and restores the corresponding permissions.
Endpoint cần gọi:
- MOD-U4 POST /api/v1/mod/users/{userId}/unban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</si>
  <si>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ANGI-190</t>
  </si>
  <si>
    <t>T111</t>
  </si>
  <si>
    <t>[BE] F-56 Moderate Restaurant</t>
  </si>
  <si>
    <t>Use case F-56 Moderate Restaurant (Actor: Mod). Allows a Mod to review and handle restaurant-related issues in the system, such as incorrect information, rule violations, or reports from users.
Endpoint cần làm: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</si>
  <si>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ANGI-191</t>
  </si>
  <si>
    <t>T114</t>
  </si>
  <si>
    <t>[FE] F-57 Review Verification Submission</t>
  </si>
  <si>
    <t>Use case F-57 Review Verification Submission (Actor: Mod). Allows a Mod to view and review a Restaurant Owner's verification submission, including the restaurant information and the data/documents provided. The reviewer can approve or reject it according to the system's process.
Endpoint cần gọi:
- MOD-V1 GET /api/v1/mod/verifications
- MOD-V2 GET /api/v1/mod/verifications/{verificationId}
- MOD-V3 POST /api/v1/mod/verifications/{verificationId}/decision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</si>
  <si>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ANGI-192</t>
  </si>
  <si>
    <t>T156</t>
  </si>
  <si>
    <t>Reco P3: Tích hợp end-to-end + tối ưu đáp ứng &lt; 3 giây</t>
  </si>
  <si>
    <t>Deliverable: End-to-end Recommendation Service. | Làm sau: Reco P3: Exploration UCB + Recommend score.</t>
  </si>
  <si>
    <t>ANGI-193</t>
  </si>
  <si>
    <t>T117</t>
  </si>
  <si>
    <t>[BE] F-59 Handle Restaurant Report</t>
  </si>
  <si>
    <t>[CRITICAL PATH] Task này nằm trên đường găng: dự phòng tối đa 1 ngày. Phải xong đúng Due Date 16/11/2026; trễ 1 ngày thì mốc "Software Package Version 3" (22/11/2026) bị trễ theo.
Ảnh hưởng trực tiếp tới: [FE] F-59 Handle Restaurant Report; Code freeze + tích hợp Iteration 3: merge PR vào dev, chạy toàn hệ thống.
Gặp vướng thì báo ngay trong ngày cho Dũng (PM), không đợi họp.
Use case F-59 Handle Restaurant Report (Actor: Mod). Allows a Mod to view and handle reports related to restaurants. The handler checks the report content and restaurant information and takes the appropriate action according to the rules.
Endpoint cần làm:
- MOD-RP1 GET /api/v1/mod/reports
- MOD-RP2 GET /api/v1/mod/reports/{reportId}
- MOD-RP3 POST /api/v1/mod/reports/{reportId}/claim
- MOD-RP4 POST /api/v1/mod/reports/{reportId}/resolve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</si>
  <si>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backend iteration3 critical-path</t>
  </si>
  <si>
    <t>ANGI-194</t>
  </si>
  <si>
    <t>T127</t>
  </si>
  <si>
    <t>[BE] F-64 View System Audits Log</t>
  </si>
  <si>
    <t>[CRITICAL PATH] Task này nằm trên đường găng: dự phòng tối đa 1 ngày. Phải xong đúng Due Date 16/11/2026; trễ 1 ngày thì mốc "Software Package Version 3" (22/11/2026) bị trễ theo.
Ảnh hưởng trực tiếp tới: Code freeze + tích hợp Iteration 3: merge PR vào dev, chạy toàn hệ thống.
Gặp vướng thì báo ngay trong ngày cho Dũng (PM), không đợi họp.
Use case F-64 View System Audits Log (Actor: Admin). Allows an Admin to view the history of important actions recorded by the system, including administrative operations, data changes, and events needed for auditing and troubleshooting.
Endpoint cần làm:
- ADM-A1 GET /api/v1/admin/audit-logs
- ADM-A2 GET /api/v1/admin/audit-logs/{auditLogId}
Tài liệu: ANGI_Use_Case_Basic_Descriptions_Ver1.0 (use case), ANGI_API_Design_Ver1.7 (sheet Backend API, Chi tiết Request-Response, Mã lỗi), ANGI_Data_Dictionary_Ver1.1 (bảng), coding_rule.md.
DoD: Endpoint trả đúng request/response và mã lỗi như ANGI_API_Design_Ver1.7; code theo coding_rule.md; unit test tối thiểu 2 method; hiện trên Scalar; PR được Dũng review.</t>
  </si>
  <si>
    <t>ANGI-195</t>
  </si>
  <si>
    <t>T116</t>
  </si>
  <si>
    <t>[FE] F-58 Review Pending Menu Submission</t>
  </si>
  <si>
    <t>Use case F-58 Review Pending Menu Submission (Actor: Mod). Allows a Mod to view and review a restaurant's menu submission awaiting approval, including the restaurant's menu information. The reviewer can approve or reject it according to the system's process.
Endpoint cần gọi:
- MOD-M1 GET /api/v1/mod/menu-submissions
- MOD-M2 GET /api/v1/mod/menu-submissions/{submissionId}
- MOD-M3 POST /api/v1/mod/menu-submissions/{submissionId}/approve
- MOD-M4 POST /api/v1/mod/menu-submissions/{submissionId}/reject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</si>
  <si>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ANGI-196</t>
  </si>
  <si>
    <t>T124</t>
  </si>
  <si>
    <t>[FE] F-62 Moderate User Feedback</t>
  </si>
  <si>
    <t>Use case F-62 Moderate User Feedback (Actor: Mod). Allows a Mod to review and handle feedback or reviews submitted by users when the content is reported or violates the rules.
Endpoint cần gọi:
- MOD-F1 GET /api/v1/mod/reviews
- MOD-F2 PUT /api/v1/mod/reviews/{reviewId}/status
- MOD-F3 PUT /api/v1/mod/reviews/{reviewId}/reply/status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</si>
  <si>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ANGI-197</t>
  </si>
  <si>
    <t>T110</t>
  </si>
  <si>
    <t>[FE] F-55 View User Audit Logs</t>
  </si>
  <si>
    <t>[CRITICAL PATH] Task này nằm trên đường găng: dự phòng tối đa 1 ngày. Phải xong đúng Due Date 17/11/2026; trễ 1 ngày thì mốc "Software Package Version 3" (22/11/2026) bị trễ theo.
Ảnh hưởng trực tiếp tới: Code freeze + tích hợp Iteration 3: merge PR vào dev, chạy toàn hệ thống.
Cần xong trước khi bắt đầu: Wireframe/mockup các màn hình Iteration 3.
Làm song song với [BE] F-55 View User Audit Logs (dùng mock data), nối API thật khi BE merge.
Gặp vướng thì báo ngay trong ngày cho Dũng (PM), không đợi họp.
Use case F-55 View User Audit Logs (Actor: Mod). Allows a Mod to view the history of important activities related to user accounts. The system shows the audit records needed to support activity tracking and review.
Endpoint cần gọi:
- MOD-U5 GET /api/v1/mod/users/{userId}/audit-logs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Tuấn review.</t>
  </si>
  <si>
    <t>frontend iteration3 critical-path</t>
  </si>
  <si>
    <t>ANGI-198</t>
  </si>
  <si>
    <t>T112</t>
  </si>
  <si>
    <t>[FE] F-56 Moderate Restaurant</t>
  </si>
  <si>
    <t>Use case F-56 Moderate Restaurant (Actor: Mod). Allows a Mod to review and handle restaurant-related issues in the system, such as incorrect information, rule violations, or reports from users.
Endpoint cần gọi:
- MOD-R1 GET /api/v1/mod/restaurants
- MOD-R2 GET /api/v1/mod/restaurants/{restaurantId}
- MOD-R3 PUT /api/v1/mod/restaurants/{restaurantId}/moderation-status
- MOD-R4 PUT /api/v1/mod/dishes/{dishId}/moderation-status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</si>
  <si>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ANGI-199</t>
  </si>
  <si>
    <t>T118</t>
  </si>
  <si>
    <t>[FE] F-59 Handle Restaurant Report</t>
  </si>
  <si>
    <t>[CRITICAL PATH] Task này nằm trên đường găng: dự phòng tối đa 1 ngày. Phải xong đúng Due Date 17/11/2026; trễ 1 ngày thì mốc "Software Package Version 3" (22/11/2026) bị trễ theo.
Ảnh hưởng trực tiếp tới: Code freeze + tích hợp Iteration 3: merge PR vào dev, chạy toàn hệ thống.
Cần xong trước khi bắt đầu: Wireframe/mockup các màn hình Iteration 3.
Làm song song với [BE] F-59 Handle Restaurant Report (dùng mock data), nối API thật khi BE merge.
Gặp vướng thì báo ngay trong ngày cho Dũng (PM), không đợi họp.
Use case F-59 Handle Restaurant Report (Actor: Mod). Allows a Mod to view and handle reports related to restaurants. The handler checks the report content and restaurant information and takes the appropriate action according to the rules.
Endpoint cần gọi:
- MOD-RP1 GET /api/v1/mod/reports
- MOD-RP2 GET /api/v1/mod/reports/{reportId}
- MOD-RP3 POST /api/v1/mod/reports/{reportId}/claim
- MOD-RP4 POST /api/v1/mod/reports/{reportId}/resolve
Tài liệu: ANGI_Use_Case_Basic_Descriptions_Ver1.0 (use case), ANGI_API_Design_Ver1.7 (sheet JSON mẫu để làm mock data, sheet Mã lỗi để hiện thông báo lỗi).
DoD: Màn hình chạy với mock data đúng sheet JSON mẫu, chuyển sang API thật khi BE merge; responsive; PR được Dũng review.</t>
  </si>
  <si>
    <t>ANGI-200</t>
  </si>
  <si>
    <t>T167</t>
  </si>
  <si>
    <t>Unit Testing Report Iteration 3</t>
  </si>
  <si>
    <t>ANGI-201</t>
  </si>
  <si>
    <t>T180</t>
  </si>
  <si>
    <t>Report 5: Integration Test Cases Iteration 3</t>
  </si>
  <si>
    <t>[CRITICAL PATH] Task này nằm trên đường găng: dự phòng tối đa 1 ngày. Phải xong đúng Due Date 18/11/2026; trễ 1 ngày thì mốc "Software Package Version 3" (22/11/2026) bị trễ theo.
Ảnh hưởng trực tiếp tới: Report 5: Integration Test Report Iteration 3.
Gặp vướng thì báo ngay trong ngày cho Dũng (PM), không đợi họp.
Viết theo use case Iteration 3 (ANGI_Use_Case_Basic_Descriptions_Ver1.0) và endpoint tương ứng (ANGI_API_Design_Ver1.7).</t>
  </si>
  <si>
    <t>18/11/2026</t>
  </si>
  <si>
    <t>ANGI-202</t>
  </si>
  <si>
    <t>T173</t>
  </si>
  <si>
    <t>Code freeze + tích hợp Iteration 3: merge PR vào dev, chạy toàn hệ thống</t>
  </si>
  <si>
    <t>[CRITICAL PATH] Task này nằm trên đường găng: dự phòng tối đa 1 ngày. Phải xong đúng Due Date 18/11/2026; trễ 1 ngày thì mốc "Software Package Version 3" (22/11/2026) bị trễ theo.
Ảnh hưởng trực tiếp tới: Report 5: Integration Test Report Iteration 3.
Cần xong trước khi bắt đầu: toàn bộ 33 task code (BE, FE, Reco) của ANGI Sprint 3.
Gặp vướng thì báo ngay trong ngày cho Dũng (PM), không đợi họp.
Hết ngày code due mọi PR của iteration phải được review và merge vào dev. Ngày này: merge PR còn lại, khóa dev (chỉ nhận PR fix bug), chạy backend + reco + frontend từ dev, smoke test các luồng chính, gắn tag iteration-3. Sau đó Đức/Trọng chạy integration test; lỗi tìm được tạo issue Bug giao cho người làm feature đó, sửa trước ngày phát hành bản của iteration.</t>
  </si>
  <si>
    <t>ANGI-203</t>
  </si>
  <si>
    <t>T181</t>
  </si>
  <si>
    <t>Report 5: Integration Test Report Iteration 3</t>
  </si>
  <si>
    <t>[CRITICAL PATH] Task này nằm trên đường găng: dự phòng tối đa 1 ngày. Phải xong đúng Due Date 20/11/2026; trễ 1 ngày thì mốc "Software Package Version 3" (22/11/2026) bị trễ theo.
Ảnh hưởng trực tiếp tới: Software Package Version 3 (deploy + release note).
Cần xong trước khi bắt đầu: Code freeze + tích hợp Iteration 3: merge PR vào dev, chạy toàn hệ thống; Report 5: Integration Test Cases Iteration 3.
Gặp vướng thì báo ngay trong ngày cho Dũng (PM), không đợi họp.
Chạy test case trên bản tag iteration-3; lỗi tạo issue Bug.</t>
  </si>
  <si>
    <t>19/11/2026</t>
  </si>
  <si>
    <t>20/11/2026</t>
  </si>
  <si>
    <t>ANGI-204</t>
  </si>
  <si>
    <t>T182</t>
  </si>
  <si>
    <t>Report 5: System Test Cases</t>
  </si>
  <si>
    <t>[CRITICAL PATH] Task này nằm trên đường găng: dự phòng tối đa 1 ngày. Phải xong đúng Due Date 21/11/2026; trễ 1 ngày thì mốc "Final Software Package" (06/12/2026) bị trễ theo.
Ảnh hưởng trực tiếp tới: Report 5: System Test Report (chạy system test).
Gặp vướng thì báo ngay trong ngày cho Dũng (PM), không đợi họp.
Phủ đủ 66 use case trong ANGI_Use_Case_Basic_Descriptions_Ver1.0.</t>
  </si>
  <si>
    <t>21/11/2026</t>
  </si>
  <si>
    <t>ANGI-205</t>
  </si>
  <si>
    <t>T206</t>
  </si>
  <si>
    <t>Fix bug integration test Iteration 3 (backend)</t>
  </si>
  <si>
    <t>[CRITICAL PATH] Task này nằm trên đường găng: dự phòng tối đa 1 ngày. Phải xong đúng Due Date 21/11/2026; trễ 1 ngày thì mốc "Software Package Version 3" (22/11/2026) bị trễ theo.
Ảnh hưởng trực tiếp tới: Software Package Version 3 (deploy + release note).
Gặp vướng thì báo ngay trong ngày cho Dũng (PM), không đợi họp.
Sửa các Bug tạo ra từ Integration Test Iteration 3 thuộc phần mình làm, merge vào dev trước ngày phát hành Software Package V3. Không có bug thì đóng task.</t>
  </si>
  <si>
    <t>ANGI-206</t>
  </si>
  <si>
    <t>T207</t>
  </si>
  <si>
    <t>ANGI-207</t>
  </si>
  <si>
    <t>T208</t>
  </si>
  <si>
    <t>Fix bug integration test Iteration 3 (frontend)</t>
  </si>
  <si>
    <t>ANGI-208</t>
  </si>
  <si>
    <t>T209</t>
  </si>
  <si>
    <t>ANGI-209</t>
  </si>
  <si>
    <t>T210</t>
  </si>
  <si>
    <t>Fix bug integration test Iteration 3 (reco + hạ tầng)</t>
  </si>
  <si>
    <t>ANGI-210</t>
  </si>
  <si>
    <t>T183</t>
  </si>
  <si>
    <t>Software Package Version 3 (deploy + release note)</t>
  </si>
  <si>
    <t>[CRITICAL PATH] Task này nằm trên đường găng: dự phòng tối đa 1 ngày. Phải xong đúng Due Date 22/11/2026; trễ 1 ngày thì đây chính là mốc giao nộp.
Ảnh hưởng trực tiếp tới: Report 5: System Test Report (chạy system test).
Cần xong trước khi bắt đầu: Report 5: Integration Test Report Iteration 3; Fix bug integration test Iteration 3 (backend); Fix bug integration test Iteration 3 (backend); Fix bug integration test Iteration 3 (frontend); Fix bug integration test Iteration 3 (frontend); Fix bug integration test Iteration 3 (reco + hạ tầng).
Gặp vướng thì báo ngay trong ngày cho Dũng (PM), không đợi họp.
Deploy bản của iteration từ tag iteration-3 lên Render (backend, reco, PostgreSQL) và Vercel (frontend); viết release note liệt kê feature đã xong và lỗi còn tồn.</t>
  </si>
  <si>
    <t>ANGI-211</t>
  </si>
  <si>
    <t>T184</t>
  </si>
  <si>
    <t>Report 5: System Test Report (chạy system test)</t>
  </si>
  <si>
    <t>[CRITICAL PATH] Task này nằm trên đường găng: dự phòng tối đa 1 ngày. Phải xong đúng Due Date 25/11/2026; trễ 1 ngày thì mốc "Final Software Package" (06/12/2026) bị trễ theo.
Ảnh hưởng trực tiếp tới: Fix bug backend sau system test (auth, restaurant, roadmap); Fix bug backend sau system test (account, discovery, blog, moderation, admin); Fix bug frontend sau system test (owner, roadmap, admin); Fix bug frontend sau system test (auth, discovery, blog, moderation); Fix bug reco + hạ tầng sau system test.
Cần xong trước khi bắt đầu: Software Package Version 3 (deploy + release note); Report 5: System Test Cases.
Gặp vướng thì báo ngay trong ngày cho Dũng (PM), không đợi họp.
Trọng hỗ trợ chạy test backend.</t>
  </si>
  <si>
    <t>25/11/2026</t>
  </si>
  <si>
    <t>ANGI-212</t>
  </si>
  <si>
    <t>T186</t>
  </si>
  <si>
    <t>Fix bug backend sau system test (auth, restaurant, roadmap)</t>
  </si>
  <si>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backend sau system test (auth, restaurant, roadmap)</t>
  </si>
  <si>
    <t>26/11/2026</t>
  </si>
  <si>
    <t>03/12/2026</t>
  </si>
  <si>
    <t>ANGI-213</t>
  </si>
  <si>
    <t>T187</t>
  </si>
  <si>
    <t>Fix bug backend sau system test (account, discovery, blog, moderation, admin)</t>
  </si>
  <si>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backend sau system test (account, discovery, blog, moderation, admin)</t>
  </si>
  <si>
    <t>ANGI-214</t>
  </si>
  <si>
    <t>T188</t>
  </si>
  <si>
    <t>Fix bug frontend sau system test (owner, roadmap, admin)</t>
  </si>
  <si>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frontend sau system test (owner, roadmap, admin)</t>
  </si>
  <si>
    <t>ANGI-215</t>
  </si>
  <si>
    <t>T189</t>
  </si>
  <si>
    <t>Fix bug frontend sau system test (auth, discovery, blog, moderation)</t>
  </si>
  <si>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frontend sau system test (auth, discovery, blog, moderation)</t>
  </si>
  <si>
    <t>ANGI-216</t>
  </si>
  <si>
    <t>T190</t>
  </si>
  <si>
    <t>Fix bug reco + hạ tầng sau system test</t>
  </si>
  <si>
    <t>[CRITICAL PATH] Task này nằm trên đường găng: dự phòng tối đa 1 ngày. Phải xong đúng Due Date 03/12/2026; trễ 1 ngày thì mốc "Final Software Package" (06/12/2026) bị trễ theo.
Ảnh hưởng trực tiếp tới: Deploy bản cuối (Render + Vercel) và kiểm tra sau deploy.
Cần xong trước khi bắt đầu: Report 5: System Test Report (chạy system test).
Gặp vướng thì báo ngay trong ngày cho Dũng (PM), không đợi họp.
Fix bug reco + hạ tầng sau system test</t>
  </si>
  <si>
    <t>ANGI-217</t>
  </si>
  <si>
    <t>T185</t>
  </si>
  <si>
    <t>Acceptance Test Support (demo với GVHD, ghi nhận lỗi)</t>
  </si>
  <si>
    <t>30/11/2026</t>
  </si>
  <si>
    <t>01/12/2026</t>
  </si>
  <si>
    <t>qa</t>
  </si>
  <si>
    <t>ANGI-218</t>
  </si>
  <si>
    <t>T168</t>
  </si>
  <si>
    <t>Report 6: User Guides (Installation Guide, User Manual)</t>
  </si>
  <si>
    <t>Phần Installation Guide lấy từ README và cấu hình deploy của Dũng.</t>
  </si>
  <si>
    <t>ANGI-219</t>
  </si>
  <si>
    <t>T191</t>
  </si>
  <si>
    <t>Deploy bản cuối (Render + Vercel) và kiểm tra sau deploy</t>
  </si>
  <si>
    <t>[CRITICAL PATH] Task này nằm trên đường găng: dự phòng tối đa 1 ngày. Phải xong đúng Due Date 05/12/2026; trễ 1 ngày thì mốc "Final Software Package" (06/12/2026) bị trễ theo.
Ảnh hưởng trực tiếp tới: Final Software Package (docs, source code).
Cần xong trước khi bắt đầu: Fix bug backend sau system test (auth, restaurant, roadmap); Fix bug backend sau system test (account, discovery, blog, moderation, admin); Fix bug frontend sau system test (owner, roadmap, admin); Fix bug frontend sau system test (auth, discovery, blog, moderation); Fix bug reco + hạ tầng sau system test.
Gặp vướng thì báo ngay trong ngày cho Dũng (PM), không đợi họp.
Deploy bản của iteration từ dev sau khi fix bug, merge sang main lên Render (backend, reco, PostgreSQL) và Vercel (frontend); viết release note liệt kê feature đã xong và lỗi còn tồn.</t>
  </si>
  <si>
    <t>04/12/2026</t>
  </si>
  <si>
    <t>05/12/2026</t>
  </si>
  <si>
    <t>ANGI-220</t>
  </si>
  <si>
    <t>T192</t>
  </si>
  <si>
    <t>Final Software Package (docs, source code)</t>
  </si>
  <si>
    <t>[CRITICAL PATH] Task này nằm trên đường găng: dự phòng tối đa 1 ngày. Phải xong đúng Due Date 06/12/2026; trễ 1 ngày thì đây chính là mốc giao nộp.
Ảnh hưởng trực tiếp tới: Report 7: Final Project Report.
Cần xong trước khi bắt đầu: Deploy bản cuối (Render + Vercel) và kiểm tra sau deploy; Report 6: User Guides (Installation Guide, User Manual).
Gặp vướng thì báo ngay trong ngày cho Dũng (PM), không đợi họp.
Final Software Package (docs, source code)</t>
  </si>
  <si>
    <t>ANGI-221</t>
  </si>
  <si>
    <t>T169</t>
  </si>
  <si>
    <t>Report 7: Final Project Report</t>
  </si>
  <si>
    <t>[CRITICAL PATH] Task này nằm trên đường găng: dự phòng tối đa 1 ngày. Phải xong đúng Due Date 11/12/2026; trễ 1 ngày thì mốc "Presentation File" (13/12/2026) bị trễ theo.
Ảnh hưởng trực tiếp tới: Presentation File (slide bảo vệ).
Cần xong trước khi bắt đầu: Final Software Package (docs, source code).
Gặp vướng thì báo ngay trong ngày cho Dũng (PM), không đợi họp.
Cả team cùng viết, mỗi người viết phần module/feature mình làm. Dũng tổng hợp và duyệt cuối.</t>
  </si>
  <si>
    <t>11/12/2026</t>
  </si>
  <si>
    <t>docs critical-path</t>
  </si>
  <si>
    <t>ANGI-222</t>
  </si>
  <si>
    <t>T170</t>
  </si>
  <si>
    <t>Presentation File (slide bảo vệ)</t>
  </si>
  <si>
    <t>[CRITICAL PATH] Task này nằm trên đường găng: dự phòng tối đa 1 ngày. Phải xong đúng Due Date 13/12/2026; trễ 1 ngày thì đây chính là mốc giao nộp.
Cần xong trước khi bắt đầu: Report 7: Final Project Report.
Gặp vướng thì báo ngay trong ngày cho Dũng (PM), không đợi họp.
Presentation File (slide bảo vệ)</t>
  </si>
  <si>
    <t>12/12/2026</t>
  </si>
  <si>
    <t>ANGI-223</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</si>
</sst>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sz val="11.0"/>
      <color theme="1"/>
      <name val="Calibri"/>
    </font>
    <font>
      <color theme="1"/>
      <name val="Calibri"/>
      <scheme val="minor"/>
    </font>
    <font>
      <b/>
      <color rgb="FFC00000"/>
      <name val="Calibri"/>
      <scheme val="minor"/>
    </font>
    <font>
      <i/>
      <color theme="1"/>
      <name val="Calibri"/>
      <scheme val="minor"/>
    </font>
  </fonts>
  <fills count="7">
    <fill>
      <patternFill patternType="none"/>
    </fill>
    <fill>
      <patternFill patternType="lightGray"/>
    </fill>
    <fill>
      <patternFill patternType="solid">
        <fgColor rgb="FF1F3864"/>
        <bgColor rgb="FF1F3864"/>
      </patternFill>
    </fill>
    <fill>
      <patternFill patternType="solid">
        <fgColor rgb="FF9DC3E6"/>
        <bgColor rgb="FF9DC3E6"/>
      </patternFill>
    </fill>
    <fill>
      <patternFill patternType="solid">
        <fgColor rgb="FFF2F2F2"/>
        <bgColor rgb="FFF2F2F2"/>
      </patternFill>
    </fill>
    <fill>
      <patternFill patternType="solid">
        <fgColor rgb="FFF8CBAD"/>
        <bgColor rgb="FFF8CBAD"/>
      </patternFill>
    </fill>
    <fill>
      <patternFill patternType="solid">
        <fgColor rgb="FFC00000"/>
        <bgColor rgb="FFC00000"/>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2" fillId="2" fontId="1" numFmtId="0" xfId="0" applyAlignment="1" applyBorder="1" applyFill="1" applyFont="1">
      <alignment horizontal="center" vertical="center"/>
    </xf>
    <xf borderId="2" fillId="2" fontId="1" numFmtId="0" xfId="0" applyAlignment="1" applyBorder="1" applyFill="1" applyFont="1">
      <alignment horizontal="center" textRotation="90" vertical="center"/>
    </xf>
    <xf borderId="0" fillId="0" fontId="3" numFmtId="0" xfId="0" applyFont="1"/>
    <xf borderId="2" fillId="3" fontId="2" numFmtId="0" xfId="0" applyBorder="1" applyFill="1" applyFont="1"/>
    <xf borderId="2" fillId="4" fontId="2" numFmtId="0" xfId="0" applyBorder="1" applyFill="1" applyFont="1"/>
    <xf borderId="1" fillId="5" fontId="2" numFmtId="0" xfId="0" applyAlignment="1" applyBorder="1" applyFill="1" applyFont="1">
      <alignment shrinkToFit="0" vertical="top" wrapText="1"/>
    </xf>
    <xf borderId="1" fillId="0" fontId="2" numFmtId="0" xfId="0" applyBorder="1" applyFont="1"/>
    <xf borderId="0" fillId="0" fontId="4" numFmtId="0" xfId="0" applyFont="1"/>
    <xf borderId="2" fillId="6" fontId="2" numFmtId="0" xfId="0" applyBorder="1" applyFill="1" applyFont="1"/>
    <xf borderId="0" fillId="0" fontId="5" numFmtId="0" xfId="0" applyFont="1"/>
    <xf borderId="1" fillId="5" fontId="2" numFmtId="0" xfId="0" applyAlignment="1" applyBorder="1" applyFill="1" applyFont="1">
      <alignment readingOrder="0" shrinkToFit="0" vertical="top"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0.0"/>
    <col customWidth="1" min="3" max="4" width="12.0"/>
    <col customWidth="1" min="5" max="5" width="80.0"/>
    <col customWidth="1" min="6" max="6" width="10.0"/>
    <col customWidth="1" min="7" max="7" width="12.0"/>
    <col customWidth="1" min="8" max="26" width="8.71"/>
  </cols>
  <sheetData>
    <row r="1">
      <c r="A1" s="1" t="s">
        <v>0</v>
      </c>
      <c r="B1" s="1" t="s">
        <v>4</v>
      </c>
      <c r="C1" s="1" t="s">
        <v>5</v>
      </c>
      <c r="D1" s="1" t="s">
        <v>6</v>
      </c>
      <c r="E1" s="1" t="s">
        <v>10</v>
      </c>
      <c r="F1" s="1" t="s">
        <v>14</v>
      </c>
      <c r="G1" s="1" t="s">
        <v>17</v>
      </c>
    </row>
    <row r="2">
      <c r="A2" s="2" t="s">
        <v>20</v>
      </c>
      <c r="B2" s="2" t="s">
        <v>26</v>
      </c>
      <c r="C2" s="2" t="s">
        <v>27</v>
      </c>
      <c r="D2" s="2" t="s">
        <v>29</v>
      </c>
      <c r="E2" s="2" t="s">
        <v>32</v>
      </c>
      <c r="F2" s="2">
        <f>COUNTIF(Backlog!$F:$F,A2)</f>
        <v>15</v>
      </c>
      <c r="G2" s="2">
        <f>SUMIF(Backlog!$F:$F,A2,Backlog!$H:$H)</f>
        <v>45</v>
      </c>
    </row>
    <row r="3">
      <c r="A3" s="2" t="s">
        <v>76</v>
      </c>
      <c r="B3" s="2" t="s">
        <v>77</v>
      </c>
      <c r="C3" s="2" t="s">
        <v>78</v>
      </c>
      <c r="D3" s="2" t="s">
        <v>80</v>
      </c>
      <c r="E3" s="2" t="s">
        <v>82</v>
      </c>
      <c r="F3" s="2">
        <f>COUNTIF(Backlog!$F:$F,A3)</f>
        <v>70</v>
      </c>
      <c r="G3" s="2">
        <f>SUMIF(Backlog!$F:$F,A3,Backlog!$H:$H)</f>
        <v>153</v>
      </c>
    </row>
    <row r="4">
      <c r="A4" s="2" t="s">
        <v>100</v>
      </c>
      <c r="B4" s="2" t="s">
        <v>102</v>
      </c>
      <c r="C4" s="2" t="s">
        <v>101</v>
      </c>
      <c r="D4" s="2" t="s">
        <v>37</v>
      </c>
      <c r="E4" s="2" t="s">
        <v>104</v>
      </c>
      <c r="F4" s="2">
        <f>COUNTIF(Backlog!$F:$F,A4)</f>
        <v>68</v>
      </c>
      <c r="G4" s="2">
        <f>SUMIF(Backlog!$F:$F,A4,Backlog!$H:$H)</f>
        <v>150</v>
      </c>
    </row>
    <row r="5">
      <c r="A5" s="2" t="s">
        <v>116</v>
      </c>
      <c r="B5" s="2" t="s">
        <v>117</v>
      </c>
      <c r="C5" s="2" t="s">
        <v>118</v>
      </c>
      <c r="D5" s="2" t="s">
        <v>119</v>
      </c>
      <c r="E5" s="2" t="s">
        <v>121</v>
      </c>
      <c r="F5" s="2">
        <f>COUNTIF(Backlog!$F:$F,A5)</f>
        <v>45</v>
      </c>
      <c r="G5" s="2">
        <f>SUMIF(Backlog!$F:$F,A5,Backlog!$H:$H)</f>
        <v>108</v>
      </c>
    </row>
    <row r="6">
      <c r="A6" s="2" t="s">
        <v>134</v>
      </c>
      <c r="B6" s="2" t="s">
        <v>136</v>
      </c>
      <c r="C6" s="2" t="s">
        <v>137</v>
      </c>
      <c r="D6" s="2" t="s">
        <v>140</v>
      </c>
      <c r="E6" s="2" t="s">
        <v>141</v>
      </c>
      <c r="F6" s="2">
        <f>COUNTIF(Backlog!$F:$F,A6)</f>
        <v>10</v>
      </c>
      <c r="G6" s="2">
        <f>SUMIF(Backlog!$F:$F,A6,Backlog!$H:$H)</f>
        <v>25</v>
      </c>
    </row>
    <row r="7">
      <c r="A7" s="2" t="s">
        <v>153</v>
      </c>
      <c r="B7" s="2" t="s">
        <v>154</v>
      </c>
      <c r="C7" s="2" t="s">
        <v>155</v>
      </c>
      <c r="D7" s="2" t="s">
        <v>157</v>
      </c>
      <c r="E7" s="2" t="s">
        <v>159</v>
      </c>
      <c r="F7" s="2">
        <f>COUNTIF(Backlog!$F:$F,A7)</f>
        <v>2</v>
      </c>
      <c r="G7" s="2">
        <f>SUMIF(Backlog!$F:$F,A7,Backlog!$H:$H)</f>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55.0"/>
    <col customWidth="1" min="3" max="3" width="22.0"/>
    <col customWidth="1" min="4" max="26" width="8.71"/>
  </cols>
  <sheetData>
    <row r="1">
      <c r="A1" s="1" t="s">
        <v>1</v>
      </c>
      <c r="B1" s="1" t="s">
        <v>19</v>
      </c>
      <c r="C1" s="1" t="s">
        <v>22</v>
      </c>
    </row>
    <row r="2">
      <c r="A2" s="2" t="s">
        <v>30</v>
      </c>
      <c r="B2" s="2" t="s">
        <v>34</v>
      </c>
      <c r="C2" s="2" t="s">
        <v>35</v>
      </c>
    </row>
    <row r="3">
      <c r="A3" s="2" t="s">
        <v>35</v>
      </c>
      <c r="B3" s="2" t="s">
        <v>39</v>
      </c>
      <c r="C3" s="2" t="s">
        <v>30</v>
      </c>
    </row>
    <row r="4">
      <c r="A4" s="2" t="s">
        <v>40</v>
      </c>
      <c r="B4" s="2" t="s">
        <v>41</v>
      </c>
      <c r="C4" s="2" t="s">
        <v>30</v>
      </c>
    </row>
    <row r="5">
      <c r="A5" s="2" t="s">
        <v>44</v>
      </c>
      <c r="B5" s="2" t="s">
        <v>45</v>
      </c>
      <c r="C5" s="2" t="s">
        <v>30</v>
      </c>
    </row>
    <row r="6">
      <c r="A6" s="2" t="s">
        <v>48</v>
      </c>
      <c r="B6" s="2" t="s">
        <v>49</v>
      </c>
      <c r="C6" s="2"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2.0"/>
    <col customWidth="1" min="3" max="3" width="60.0"/>
    <col customWidth="1" min="4" max="5" width="12.0"/>
    <col customWidth="1" min="6" max="6" width="10.0"/>
    <col customWidth="1" min="7" max="7" width="12.0"/>
    <col customWidth="1" min="8" max="26" width="8.71"/>
  </cols>
  <sheetData>
    <row r="1">
      <c r="A1" s="1" t="s">
        <v>3</v>
      </c>
      <c r="B1" s="1" t="s">
        <v>8</v>
      </c>
      <c r="C1" s="1" t="s">
        <v>11</v>
      </c>
      <c r="D1" s="1" t="s">
        <v>13</v>
      </c>
      <c r="E1" s="1" t="s">
        <v>16</v>
      </c>
      <c r="F1" s="1" t="s">
        <v>14</v>
      </c>
      <c r="G1" s="1" t="s">
        <v>17</v>
      </c>
    </row>
    <row r="2">
      <c r="A2" s="2" t="s">
        <v>24</v>
      </c>
      <c r="B2" s="2" t="s">
        <v>28</v>
      </c>
      <c r="C2" s="2" t="s">
        <v>31</v>
      </c>
      <c r="D2" s="2" t="s">
        <v>27</v>
      </c>
      <c r="E2" s="2" t="s">
        <v>37</v>
      </c>
      <c r="F2" s="2">
        <f>COUNTIF(Backlog!$G:$G,A2)</f>
        <v>15</v>
      </c>
      <c r="G2" s="2">
        <f>SUMIF(Backlog!$G:$G,A2,Backlog!$H:$H)</f>
        <v>46</v>
      </c>
    </row>
    <row r="3">
      <c r="A3" s="2" t="s">
        <v>72</v>
      </c>
      <c r="B3" s="2" t="s">
        <v>74</v>
      </c>
      <c r="C3" s="2" t="s">
        <v>75</v>
      </c>
      <c r="D3" s="2" t="s">
        <v>78</v>
      </c>
      <c r="E3" s="2" t="s">
        <v>83</v>
      </c>
      <c r="F3" s="2">
        <f>COUNTIF(Backlog!$G:$G,A3)</f>
        <v>16</v>
      </c>
      <c r="G3" s="2">
        <f>SUMIF(Backlog!$G:$G,A3,Backlog!$H:$H)</f>
        <v>30</v>
      </c>
    </row>
    <row r="4">
      <c r="A4" s="2" t="s">
        <v>96</v>
      </c>
      <c r="B4" s="2" t="s">
        <v>98</v>
      </c>
      <c r="C4" s="2" t="s">
        <v>99</v>
      </c>
      <c r="D4" s="2" t="s">
        <v>101</v>
      </c>
      <c r="E4" s="2" t="s">
        <v>103</v>
      </c>
      <c r="F4" s="2">
        <f>COUNTIF(Backlog!$G:$G,A4)</f>
        <v>4</v>
      </c>
      <c r="G4" s="2">
        <f>SUMIF(Backlog!$G:$G,A4,Backlog!$H:$H)</f>
        <v>6</v>
      </c>
    </row>
    <row r="5">
      <c r="A5" s="2" t="s">
        <v>112</v>
      </c>
      <c r="B5" s="2" t="s">
        <v>113</v>
      </c>
      <c r="C5" s="2" t="s">
        <v>114</v>
      </c>
      <c r="D5" s="2" t="s">
        <v>78</v>
      </c>
      <c r="E5" s="2" t="s">
        <v>83</v>
      </c>
      <c r="F5" s="2">
        <f>COUNTIF(Backlog!$G:$G,A5)</f>
        <v>16</v>
      </c>
      <c r="G5" s="2">
        <f>SUMIF(Backlog!$G:$G,A5,Backlog!$H:$H)</f>
        <v>38</v>
      </c>
    </row>
    <row r="6">
      <c r="A6" s="2" t="s">
        <v>129</v>
      </c>
      <c r="B6" s="2" t="s">
        <v>139</v>
      </c>
      <c r="C6" s="2" t="s">
        <v>142</v>
      </c>
      <c r="D6" s="2" t="s">
        <v>101</v>
      </c>
      <c r="E6" s="2" t="s">
        <v>145</v>
      </c>
      <c r="F6" s="2">
        <f>COUNTIF(Backlog!$G:$G,A6)</f>
        <v>24</v>
      </c>
      <c r="G6" s="2">
        <f>SUMIF(Backlog!$G:$G,A6,Backlog!$H:$H)</f>
        <v>65</v>
      </c>
    </row>
    <row r="7">
      <c r="A7" s="2" t="s">
        <v>158</v>
      </c>
      <c r="B7" s="2" t="s">
        <v>160</v>
      </c>
      <c r="C7" s="2" t="s">
        <v>161</v>
      </c>
      <c r="D7" s="2" t="s">
        <v>162</v>
      </c>
      <c r="E7" s="2" t="s">
        <v>145</v>
      </c>
      <c r="F7" s="2">
        <f>COUNTIF(Backlog!$G:$G,A7)</f>
        <v>6</v>
      </c>
      <c r="G7" s="2">
        <f>SUMIF(Backlog!$G:$G,A7,Backlog!$H:$H)</f>
        <v>12</v>
      </c>
    </row>
    <row r="8">
      <c r="A8" s="2" t="s">
        <v>173</v>
      </c>
      <c r="B8" s="2" t="s">
        <v>174</v>
      </c>
      <c r="C8" s="2" t="s">
        <v>175</v>
      </c>
      <c r="D8" s="2" t="s">
        <v>101</v>
      </c>
      <c r="E8" s="2" t="s">
        <v>177</v>
      </c>
      <c r="F8" s="2">
        <f>COUNTIF(Backlog!$G:$G,A8)</f>
        <v>18</v>
      </c>
      <c r="G8" s="2">
        <f>SUMIF(Backlog!$G:$G,A8,Backlog!$H:$H)</f>
        <v>36</v>
      </c>
    </row>
    <row r="9">
      <c r="A9" s="2" t="s">
        <v>184</v>
      </c>
      <c r="B9" s="2" t="s">
        <v>185</v>
      </c>
      <c r="C9" s="2" t="s">
        <v>187</v>
      </c>
      <c r="D9" s="2" t="s">
        <v>78</v>
      </c>
      <c r="E9" s="2" t="s">
        <v>83</v>
      </c>
      <c r="F9" s="2">
        <f>COUNTIF(Backlog!$G:$G,A9)</f>
        <v>18</v>
      </c>
      <c r="G9" s="2">
        <f>SUMIF(Backlog!$G:$G,A9,Backlog!$H:$H)</f>
        <v>45</v>
      </c>
    </row>
    <row r="10">
      <c r="A10" s="2" t="s">
        <v>195</v>
      </c>
      <c r="B10" s="2" t="s">
        <v>196</v>
      </c>
      <c r="C10" s="2" t="s">
        <v>197</v>
      </c>
      <c r="D10" s="2" t="s">
        <v>118</v>
      </c>
      <c r="E10" s="2" t="s">
        <v>199</v>
      </c>
      <c r="F10" s="2">
        <f>COUNTIF(Backlog!$G:$G,A10)</f>
        <v>22</v>
      </c>
      <c r="G10" s="2">
        <f>SUMIF(Backlog!$G:$G,A10,Backlog!$H:$H)</f>
        <v>51</v>
      </c>
    </row>
    <row r="11">
      <c r="A11" s="2" t="s">
        <v>211</v>
      </c>
      <c r="B11" s="2" t="s">
        <v>212</v>
      </c>
      <c r="C11" s="2" t="s">
        <v>213</v>
      </c>
      <c r="D11" s="2" t="s">
        <v>118</v>
      </c>
      <c r="E11" s="2" t="s">
        <v>215</v>
      </c>
      <c r="F11" s="2">
        <f>COUNTIF(Backlog!$G:$G,A11)</f>
        <v>8</v>
      </c>
      <c r="G11" s="2">
        <f>SUMIF(Backlog!$G:$G,A11,Backlog!$H:$H)</f>
        <v>28</v>
      </c>
    </row>
    <row r="12">
      <c r="A12" s="2" t="s">
        <v>182</v>
      </c>
      <c r="B12" s="2" t="s">
        <v>230</v>
      </c>
      <c r="C12" s="2" t="s">
        <v>231</v>
      </c>
      <c r="D12" s="2" t="s">
        <v>78</v>
      </c>
      <c r="E12" s="2" t="s">
        <v>215</v>
      </c>
      <c r="F12" s="2">
        <f>COUNTIF(Backlog!$G:$G,A12)</f>
        <v>11</v>
      </c>
      <c r="G12" s="2">
        <f>SUMIF(Backlog!$G:$G,A12,Backlog!$H:$H)</f>
        <v>37</v>
      </c>
    </row>
    <row r="13">
      <c r="A13" s="2" t="s">
        <v>56</v>
      </c>
      <c r="B13" s="2" t="s">
        <v>282</v>
      </c>
      <c r="C13" s="2" t="s">
        <v>284</v>
      </c>
      <c r="D13" s="2" t="s">
        <v>27</v>
      </c>
      <c r="E13" s="2" t="s">
        <v>157</v>
      </c>
      <c r="F13" s="2">
        <f>COUNTIF(Backlog!$G:$G,A13)</f>
        <v>14</v>
      </c>
      <c r="G13" s="2">
        <f>SUMIF(Backlog!$G:$G,A13,Backlog!$H:$H)</f>
        <v>31</v>
      </c>
    </row>
    <row r="14">
      <c r="A14" s="2" t="s">
        <v>313</v>
      </c>
      <c r="B14" s="2" t="s">
        <v>315</v>
      </c>
      <c r="C14" s="2" t="s">
        <v>317</v>
      </c>
      <c r="D14" s="2" t="s">
        <v>319</v>
      </c>
      <c r="E14" s="2" t="s">
        <v>140</v>
      </c>
      <c r="F14" s="2">
        <f>COUNTIF(Backlog!$G:$G,A14)</f>
        <v>38</v>
      </c>
      <c r="G14" s="2">
        <f>SUMIF(Backlog!$G:$G,A14,Backlog!$H:$H)</f>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7.0"/>
    <col customWidth="1" min="3" max="3" width="48.0"/>
    <col customWidth="1" min="4" max="4" width="70.0"/>
    <col customWidth="1" min="5" max="5" width="20.0"/>
    <col customWidth="1" min="6" max="6" width="15.0"/>
    <col customWidth="1" min="7" max="7" width="11.0"/>
    <col customWidth="1" min="8" max="8" width="8.0"/>
    <col customWidth="1" min="9" max="10" width="12.0"/>
    <col customWidth="1" min="11" max="11" width="18.0"/>
    <col customWidth="1" min="12" max="12" width="11.0"/>
    <col customWidth="1" min="13" max="15" width="10.0"/>
    <col customWidth="1" min="16" max="26" width="8.71"/>
  </cols>
  <sheetData>
    <row r="1">
      <c r="A1" s="1" t="s">
        <v>2</v>
      </c>
      <c r="B1" s="1" t="s">
        <v>7</v>
      </c>
      <c r="C1" s="1" t="s">
        <v>9</v>
      </c>
      <c r="D1" s="1" t="s">
        <v>12</v>
      </c>
      <c r="E1" s="1" t="s">
        <v>15</v>
      </c>
      <c r="F1" s="1" t="s">
        <v>0</v>
      </c>
      <c r="G1" s="1" t="s">
        <v>8</v>
      </c>
      <c r="H1" s="1" t="s">
        <v>18</v>
      </c>
      <c r="I1" s="1" t="s">
        <v>13</v>
      </c>
      <c r="J1" s="1" t="s">
        <v>21</v>
      </c>
      <c r="K1" s="1" t="s">
        <v>23</v>
      </c>
      <c r="L1" s="1" t="s">
        <v>25</v>
      </c>
      <c r="M1" s="1" t="s">
        <v>33</v>
      </c>
      <c r="N1" s="1" t="s">
        <v>36</v>
      </c>
      <c r="O1" s="1" t="s">
        <v>38</v>
      </c>
    </row>
    <row r="2">
      <c r="A2" s="2" t="s">
        <v>42</v>
      </c>
      <c r="B2" s="2" t="s">
        <v>43</v>
      </c>
      <c r="C2" s="2" t="s">
        <v>46</v>
      </c>
      <c r="D2" s="2" t="s">
        <v>47</v>
      </c>
      <c r="E2" s="2" t="s">
        <v>30</v>
      </c>
      <c r="F2" s="2" t="s">
        <v>20</v>
      </c>
      <c r="G2" s="2" t="s">
        <v>24</v>
      </c>
      <c r="H2" s="2">
        <v>2.0</v>
      </c>
      <c r="I2" s="2" t="s">
        <v>27</v>
      </c>
      <c r="J2" s="2" t="s">
        <v>27</v>
      </c>
      <c r="K2" s="2" t="s">
        <v>50</v>
      </c>
      <c r="L2" s="2" t="s">
        <v>51</v>
      </c>
      <c r="M2" s="2"/>
      <c r="N2" s="2">
        <v>8.3</v>
      </c>
      <c r="O2" s="2" t="s">
        <v>52</v>
      </c>
    </row>
    <row r="3">
      <c r="A3" s="2" t="s">
        <v>53</v>
      </c>
      <c r="B3" s="2" t="s">
        <v>43</v>
      </c>
      <c r="C3" s="2" t="s">
        <v>54</v>
      </c>
      <c r="D3" s="2" t="s">
        <v>55</v>
      </c>
      <c r="E3" s="2" t="s">
        <v>30</v>
      </c>
      <c r="F3" s="2" t="s">
        <v>20</v>
      </c>
      <c r="G3" s="2" t="s">
        <v>56</v>
      </c>
      <c r="H3" s="2">
        <v>3.0</v>
      </c>
      <c r="I3" s="2" t="s">
        <v>27</v>
      </c>
      <c r="J3" s="2" t="s">
        <v>27</v>
      </c>
      <c r="K3" s="2" t="s">
        <v>57</v>
      </c>
      <c r="L3" s="2" t="s">
        <v>58</v>
      </c>
      <c r="M3" s="2"/>
      <c r="N3" s="2">
        <v>69.0</v>
      </c>
      <c r="O3" s="2" t="s">
        <v>52</v>
      </c>
    </row>
    <row r="4">
      <c r="A4" s="2" t="s">
        <v>59</v>
      </c>
      <c r="B4" s="2" t="s">
        <v>43</v>
      </c>
      <c r="C4" s="2" t="s">
        <v>60</v>
      </c>
      <c r="D4" s="2" t="s">
        <v>61</v>
      </c>
      <c r="E4" s="2" t="s">
        <v>30</v>
      </c>
      <c r="F4" s="2" t="s">
        <v>20</v>
      </c>
      <c r="G4" s="2" t="s">
        <v>24</v>
      </c>
      <c r="H4" s="2">
        <v>2.0</v>
      </c>
      <c r="I4" s="2" t="s">
        <v>27</v>
      </c>
      <c r="J4" s="2" t="s">
        <v>62</v>
      </c>
      <c r="K4" s="2" t="s">
        <v>50</v>
      </c>
      <c r="L4" s="2" t="s">
        <v>63</v>
      </c>
      <c r="M4" s="2"/>
      <c r="N4" s="2">
        <v>8.5</v>
      </c>
      <c r="O4" s="2" t="s">
        <v>52</v>
      </c>
    </row>
    <row r="5">
      <c r="A5" s="2" t="s">
        <v>64</v>
      </c>
      <c r="B5" s="2" t="s">
        <v>43</v>
      </c>
      <c r="C5" s="2" t="s">
        <v>65</v>
      </c>
      <c r="D5" s="2" t="s">
        <v>66</v>
      </c>
      <c r="E5" s="2" t="s">
        <v>35</v>
      </c>
      <c r="F5" s="2" t="s">
        <v>20</v>
      </c>
      <c r="G5" s="2" t="s">
        <v>24</v>
      </c>
      <c r="H5" s="2">
        <v>2.0</v>
      </c>
      <c r="I5" s="2" t="s">
        <v>27</v>
      </c>
      <c r="J5" s="2" t="s">
        <v>67</v>
      </c>
      <c r="K5" s="2" t="s">
        <v>68</v>
      </c>
      <c r="L5" s="2" t="s">
        <v>69</v>
      </c>
      <c r="M5" s="2"/>
      <c r="N5" s="2">
        <v>11.5</v>
      </c>
      <c r="O5" s="2" t="s">
        <v>52</v>
      </c>
    </row>
    <row r="6">
      <c r="A6" s="2" t="s">
        <v>70</v>
      </c>
      <c r="B6" s="2" t="s">
        <v>43</v>
      </c>
      <c r="C6" s="2" t="s">
        <v>71</v>
      </c>
      <c r="D6" s="2" t="s">
        <v>73</v>
      </c>
      <c r="E6" s="2" t="s">
        <v>40</v>
      </c>
      <c r="F6" s="2" t="s">
        <v>20</v>
      </c>
      <c r="G6" s="2" t="s">
        <v>24</v>
      </c>
      <c r="H6" s="2">
        <v>2.0</v>
      </c>
      <c r="I6" s="2" t="s">
        <v>27</v>
      </c>
      <c r="J6" s="2" t="s">
        <v>79</v>
      </c>
      <c r="K6" s="2" t="s">
        <v>68</v>
      </c>
      <c r="L6" s="2" t="s">
        <v>81</v>
      </c>
      <c r="M6" s="2"/>
      <c r="N6" s="2">
        <v>10.8</v>
      </c>
      <c r="O6" s="2" t="s">
        <v>52</v>
      </c>
    </row>
    <row r="7">
      <c r="A7" s="2" t="s">
        <v>84</v>
      </c>
      <c r="B7" s="2" t="s">
        <v>43</v>
      </c>
      <c r="C7" s="2" t="s">
        <v>85</v>
      </c>
      <c r="D7" s="2" t="s">
        <v>86</v>
      </c>
      <c r="E7" s="2" t="s">
        <v>44</v>
      </c>
      <c r="F7" s="2" t="s">
        <v>20</v>
      </c>
      <c r="G7" s="2" t="s">
        <v>24</v>
      </c>
      <c r="H7" s="2">
        <v>5.0</v>
      </c>
      <c r="I7" s="2" t="s">
        <v>27</v>
      </c>
      <c r="J7" s="2" t="s">
        <v>29</v>
      </c>
      <c r="K7" s="2" t="s">
        <v>87</v>
      </c>
      <c r="L7" s="2" t="s">
        <v>88</v>
      </c>
      <c r="M7" s="2"/>
      <c r="N7" s="2">
        <v>8.1</v>
      </c>
      <c r="O7" s="2" t="s">
        <v>89</v>
      </c>
    </row>
    <row r="8">
      <c r="A8" s="2" t="s">
        <v>90</v>
      </c>
      <c r="B8" s="2" t="s">
        <v>43</v>
      </c>
      <c r="C8" s="2" t="s">
        <v>91</v>
      </c>
      <c r="D8" s="2" t="s">
        <v>92</v>
      </c>
      <c r="E8" s="2" t="s">
        <v>48</v>
      </c>
      <c r="F8" s="2" t="s">
        <v>20</v>
      </c>
      <c r="G8" s="2" t="s">
        <v>24</v>
      </c>
      <c r="H8" s="2">
        <v>3.0</v>
      </c>
      <c r="I8" s="2" t="s">
        <v>27</v>
      </c>
      <c r="J8" s="2" t="s">
        <v>29</v>
      </c>
      <c r="K8" s="2" t="s">
        <v>87</v>
      </c>
      <c r="L8" s="2" t="s">
        <v>93</v>
      </c>
      <c r="M8" s="2"/>
      <c r="N8" s="2">
        <v>8.1</v>
      </c>
      <c r="O8" s="2" t="s">
        <v>52</v>
      </c>
    </row>
    <row r="9">
      <c r="A9" s="2" t="s">
        <v>94</v>
      </c>
      <c r="B9" s="2" t="s">
        <v>43</v>
      </c>
      <c r="C9" s="2" t="s">
        <v>95</v>
      </c>
      <c r="D9" s="2" t="s">
        <v>97</v>
      </c>
      <c r="E9" s="2" t="s">
        <v>30</v>
      </c>
      <c r="F9" s="2" t="s">
        <v>20</v>
      </c>
      <c r="G9" s="2" t="s">
        <v>24</v>
      </c>
      <c r="H9" s="2">
        <v>5.0</v>
      </c>
      <c r="I9" s="2" t="s">
        <v>62</v>
      </c>
      <c r="J9" s="2" t="s">
        <v>79</v>
      </c>
      <c r="K9" s="2" t="s">
        <v>50</v>
      </c>
      <c r="L9" s="2" t="s">
        <v>105</v>
      </c>
      <c r="M9" s="2"/>
      <c r="N9" s="2">
        <v>8.5</v>
      </c>
      <c r="O9" s="2" t="s">
        <v>89</v>
      </c>
    </row>
    <row r="10">
      <c r="A10" s="2" t="s">
        <v>106</v>
      </c>
      <c r="B10" s="2" t="s">
        <v>43</v>
      </c>
      <c r="C10" s="2" t="s">
        <v>107</v>
      </c>
      <c r="D10" s="2" t="s">
        <v>107</v>
      </c>
      <c r="E10" s="2" t="s">
        <v>48</v>
      </c>
      <c r="F10" s="2" t="s">
        <v>20</v>
      </c>
      <c r="G10" s="2" t="s">
        <v>56</v>
      </c>
      <c r="H10" s="2">
        <v>2.0</v>
      </c>
      <c r="I10" s="2" t="s">
        <v>67</v>
      </c>
      <c r="J10" s="2" t="s">
        <v>79</v>
      </c>
      <c r="K10" s="2" t="s">
        <v>57</v>
      </c>
      <c r="L10" s="2" t="s">
        <v>108</v>
      </c>
      <c r="M10" s="2"/>
      <c r="N10" s="2">
        <v>66.0</v>
      </c>
      <c r="O10" s="2" t="s">
        <v>52</v>
      </c>
    </row>
    <row r="11">
      <c r="A11" s="2" t="s">
        <v>109</v>
      </c>
      <c r="B11" s="2" t="s">
        <v>43</v>
      </c>
      <c r="C11" s="2" t="s">
        <v>110</v>
      </c>
      <c r="D11" s="2" t="s">
        <v>111</v>
      </c>
      <c r="E11" s="2" t="s">
        <v>35</v>
      </c>
      <c r="F11" s="2" t="s">
        <v>20</v>
      </c>
      <c r="G11" s="2" t="s">
        <v>24</v>
      </c>
      <c r="H11" s="2">
        <v>3.0</v>
      </c>
      <c r="I11" s="2" t="s">
        <v>67</v>
      </c>
      <c r="J11" s="2" t="s">
        <v>29</v>
      </c>
      <c r="K11" s="2" t="s">
        <v>68</v>
      </c>
      <c r="L11" s="2" t="s">
        <v>115</v>
      </c>
      <c r="M11" s="2"/>
      <c r="N11" s="2">
        <v>6.4</v>
      </c>
      <c r="O11" s="2" t="s">
        <v>52</v>
      </c>
    </row>
    <row r="12">
      <c r="A12" s="2" t="s">
        <v>120</v>
      </c>
      <c r="B12" s="2" t="s">
        <v>43</v>
      </c>
      <c r="C12" s="2" t="s">
        <v>122</v>
      </c>
      <c r="D12" s="2" t="s">
        <v>123</v>
      </c>
      <c r="E12" s="2" t="s">
        <v>30</v>
      </c>
      <c r="F12" s="2" t="s">
        <v>20</v>
      </c>
      <c r="G12" s="2" t="s">
        <v>24</v>
      </c>
      <c r="H12" s="2">
        <v>3.0</v>
      </c>
      <c r="I12" s="2" t="s">
        <v>79</v>
      </c>
      <c r="J12" s="2" t="s">
        <v>124</v>
      </c>
      <c r="K12" s="2" t="s">
        <v>50</v>
      </c>
      <c r="L12" s="2" t="s">
        <v>125</v>
      </c>
      <c r="M12" s="2"/>
      <c r="N12" s="2">
        <v>65.8</v>
      </c>
      <c r="O12" s="2" t="s">
        <v>52</v>
      </c>
    </row>
    <row r="13">
      <c r="A13" s="2" t="s">
        <v>126</v>
      </c>
      <c r="B13" s="2" t="s">
        <v>43</v>
      </c>
      <c r="C13" s="2" t="s">
        <v>127</v>
      </c>
      <c r="D13" s="2" t="s">
        <v>128</v>
      </c>
      <c r="E13" s="2" t="s">
        <v>40</v>
      </c>
      <c r="F13" s="2" t="s">
        <v>20</v>
      </c>
      <c r="G13" s="2" t="s">
        <v>24</v>
      </c>
      <c r="H13" s="2">
        <v>2.0</v>
      </c>
      <c r="I13" s="2" t="s">
        <v>79</v>
      </c>
      <c r="J13" s="2" t="s">
        <v>29</v>
      </c>
      <c r="K13" s="2" t="s">
        <v>68</v>
      </c>
      <c r="L13" s="2" t="s">
        <v>130</v>
      </c>
      <c r="M13" s="2"/>
      <c r="N13" s="2">
        <v>63.0</v>
      </c>
      <c r="O13" s="2" t="s">
        <v>52</v>
      </c>
    </row>
    <row r="14">
      <c r="A14" s="2" t="s">
        <v>131</v>
      </c>
      <c r="B14" s="2" t="s">
        <v>43</v>
      </c>
      <c r="C14" s="2" t="s">
        <v>132</v>
      </c>
      <c r="D14" s="2" t="s">
        <v>133</v>
      </c>
      <c r="E14" s="2" t="s">
        <v>30</v>
      </c>
      <c r="F14" s="2" t="s">
        <v>20</v>
      </c>
      <c r="G14" s="2" t="s">
        <v>24</v>
      </c>
      <c r="H14" s="2">
        <v>5.0</v>
      </c>
      <c r="I14" s="2" t="s">
        <v>124</v>
      </c>
      <c r="J14" s="2" t="s">
        <v>135</v>
      </c>
      <c r="K14" s="2" t="s">
        <v>50</v>
      </c>
      <c r="L14" s="2" t="s">
        <v>138</v>
      </c>
      <c r="M14" s="2"/>
      <c r="N14" s="2">
        <v>7.4</v>
      </c>
      <c r="O14" s="2" t="s">
        <v>89</v>
      </c>
    </row>
    <row r="15">
      <c r="A15" s="2" t="s">
        <v>143</v>
      </c>
      <c r="B15" s="2" t="s">
        <v>43</v>
      </c>
      <c r="C15" s="2" t="s">
        <v>144</v>
      </c>
      <c r="D15" s="2" t="s">
        <v>55</v>
      </c>
      <c r="E15" s="2" t="s">
        <v>30</v>
      </c>
      <c r="F15" s="2" t="s">
        <v>20</v>
      </c>
      <c r="G15" s="2" t="s">
        <v>56</v>
      </c>
      <c r="H15" s="2">
        <v>3.0</v>
      </c>
      <c r="I15" s="2" t="s">
        <v>124</v>
      </c>
      <c r="J15" s="2" t="s">
        <v>29</v>
      </c>
      <c r="K15" s="2" t="s">
        <v>57</v>
      </c>
      <c r="L15" s="2" t="s">
        <v>146</v>
      </c>
      <c r="M15" s="2"/>
      <c r="N15" s="2">
        <v>63.0</v>
      </c>
      <c r="O15" s="2" t="s">
        <v>52</v>
      </c>
    </row>
    <row r="16">
      <c r="A16" s="2" t="s">
        <v>147</v>
      </c>
      <c r="B16" s="2" t="s">
        <v>43</v>
      </c>
      <c r="C16" s="2" t="s">
        <v>148</v>
      </c>
      <c r="D16" s="2" t="s">
        <v>149</v>
      </c>
      <c r="E16" s="2" t="s">
        <v>30</v>
      </c>
      <c r="F16" s="2" t="s">
        <v>20</v>
      </c>
      <c r="G16" s="2" t="s">
        <v>24</v>
      </c>
      <c r="H16" s="2">
        <v>3.0</v>
      </c>
      <c r="I16" s="2" t="s">
        <v>135</v>
      </c>
      <c r="J16" s="2" t="s">
        <v>29</v>
      </c>
      <c r="K16" s="2" t="s">
        <v>150</v>
      </c>
      <c r="L16" s="2" t="s">
        <v>151</v>
      </c>
      <c r="M16" s="2"/>
      <c r="N16" s="2">
        <v>3.1</v>
      </c>
      <c r="O16" s="2" t="s">
        <v>52</v>
      </c>
    </row>
    <row r="17">
      <c r="A17" s="2" t="s">
        <v>152</v>
      </c>
      <c r="B17" s="2" t="s">
        <v>43</v>
      </c>
      <c r="C17" s="2" t="s">
        <v>156</v>
      </c>
      <c r="D17" s="2" t="s">
        <v>163</v>
      </c>
      <c r="E17" s="2" t="s">
        <v>35</v>
      </c>
      <c r="F17" s="2" t="s">
        <v>76</v>
      </c>
      <c r="G17" s="2" t="s">
        <v>72</v>
      </c>
      <c r="H17" s="2">
        <v>3.0</v>
      </c>
      <c r="I17" s="2" t="s">
        <v>78</v>
      </c>
      <c r="J17" s="2" t="s">
        <v>78</v>
      </c>
      <c r="K17" s="2" t="s">
        <v>164</v>
      </c>
      <c r="L17" s="2" t="s">
        <v>165</v>
      </c>
      <c r="M17" s="2"/>
      <c r="N17" s="2">
        <v>7.3</v>
      </c>
      <c r="O17" s="2" t="s">
        <v>52</v>
      </c>
    </row>
    <row r="18">
      <c r="A18" s="2" t="s">
        <v>166</v>
      </c>
      <c r="B18" s="2" t="s">
        <v>43</v>
      </c>
      <c r="C18" s="2" t="s">
        <v>167</v>
      </c>
      <c r="D18" s="2" t="s">
        <v>168</v>
      </c>
      <c r="E18" s="2" t="s">
        <v>48</v>
      </c>
      <c r="F18" s="2" t="s">
        <v>76</v>
      </c>
      <c r="G18" s="2" t="s">
        <v>72</v>
      </c>
      <c r="H18" s="2">
        <v>2.0</v>
      </c>
      <c r="I18" s="2" t="s">
        <v>78</v>
      </c>
      <c r="J18" s="2" t="s">
        <v>78</v>
      </c>
      <c r="K18" s="2" t="s">
        <v>169</v>
      </c>
      <c r="L18" s="2" t="s">
        <v>170</v>
      </c>
      <c r="M18" s="2"/>
      <c r="N18" s="2">
        <v>9.4</v>
      </c>
      <c r="O18" s="2" t="s">
        <v>52</v>
      </c>
    </row>
    <row r="19">
      <c r="A19" s="2" t="s">
        <v>171</v>
      </c>
      <c r="B19" s="2" t="s">
        <v>43</v>
      </c>
      <c r="C19" s="2" t="s">
        <v>172</v>
      </c>
      <c r="D19" s="2" t="s">
        <v>176</v>
      </c>
      <c r="E19" s="2" t="s">
        <v>40</v>
      </c>
      <c r="F19" s="2" t="s">
        <v>76</v>
      </c>
      <c r="G19" s="2" t="s">
        <v>112</v>
      </c>
      <c r="H19" s="2">
        <v>3.0</v>
      </c>
      <c r="I19" s="2" t="s">
        <v>78</v>
      </c>
      <c r="J19" s="2" t="s">
        <v>78</v>
      </c>
      <c r="K19" s="2" t="s">
        <v>164</v>
      </c>
      <c r="L19" s="2" t="s">
        <v>178</v>
      </c>
      <c r="M19" s="2"/>
      <c r="N19" s="2">
        <v>7.2</v>
      </c>
      <c r="O19" s="2" t="s">
        <v>52</v>
      </c>
    </row>
    <row r="20">
      <c r="A20" s="2" t="s">
        <v>179</v>
      </c>
      <c r="B20" s="2" t="s">
        <v>43</v>
      </c>
      <c r="C20" s="2" t="s">
        <v>180</v>
      </c>
      <c r="D20" s="2" t="s">
        <v>181</v>
      </c>
      <c r="E20" s="2" t="s">
        <v>30</v>
      </c>
      <c r="F20" s="2" t="s">
        <v>76</v>
      </c>
      <c r="G20" s="2" t="s">
        <v>182</v>
      </c>
      <c r="H20" s="2">
        <v>2.0</v>
      </c>
      <c r="I20" s="2" t="s">
        <v>78</v>
      </c>
      <c r="J20" s="2" t="s">
        <v>78</v>
      </c>
      <c r="K20" s="2" t="s">
        <v>150</v>
      </c>
      <c r="L20" s="2" t="s">
        <v>183</v>
      </c>
      <c r="M20" s="2"/>
      <c r="N20" s="2">
        <v>5.7</v>
      </c>
      <c r="O20" s="2" t="s">
        <v>52</v>
      </c>
    </row>
    <row r="21" ht="15.75" customHeight="1">
      <c r="A21" s="2" t="s">
        <v>186</v>
      </c>
      <c r="B21" s="2" t="s">
        <v>43</v>
      </c>
      <c r="C21" s="2" t="s">
        <v>188</v>
      </c>
      <c r="D21" s="2" t="s">
        <v>189</v>
      </c>
      <c r="E21" s="2" t="s">
        <v>35</v>
      </c>
      <c r="F21" s="2" t="s">
        <v>76</v>
      </c>
      <c r="G21" s="2" t="s">
        <v>72</v>
      </c>
      <c r="H21" s="2">
        <v>3.0</v>
      </c>
      <c r="I21" s="2" t="s">
        <v>78</v>
      </c>
      <c r="J21" s="2" t="s">
        <v>190</v>
      </c>
      <c r="K21" s="2" t="s">
        <v>164</v>
      </c>
      <c r="L21" s="2" t="s">
        <v>191</v>
      </c>
      <c r="M21" s="2"/>
      <c r="N21" s="2">
        <v>6.1</v>
      </c>
      <c r="O21" s="2" t="s">
        <v>52</v>
      </c>
    </row>
    <row r="22" ht="15.75" customHeight="1">
      <c r="A22" s="2" t="s">
        <v>192</v>
      </c>
      <c r="B22" s="2" t="s">
        <v>43</v>
      </c>
      <c r="C22" s="2" t="s">
        <v>193</v>
      </c>
      <c r="D22" s="2" t="s">
        <v>194</v>
      </c>
      <c r="E22" s="2" t="s">
        <v>48</v>
      </c>
      <c r="F22" s="2" t="s">
        <v>76</v>
      </c>
      <c r="G22" s="2" t="s">
        <v>72</v>
      </c>
      <c r="H22" s="2">
        <v>2.0</v>
      </c>
      <c r="I22" s="2" t="s">
        <v>78</v>
      </c>
      <c r="J22" s="2" t="s">
        <v>190</v>
      </c>
      <c r="K22" s="2" t="s">
        <v>169</v>
      </c>
      <c r="L22" s="2" t="s">
        <v>198</v>
      </c>
      <c r="M22" s="2"/>
      <c r="N22" s="2">
        <v>8.7</v>
      </c>
      <c r="O22" s="2" t="s">
        <v>52</v>
      </c>
    </row>
    <row r="23" ht="15.75" customHeight="1">
      <c r="A23" s="2" t="s">
        <v>200</v>
      </c>
      <c r="B23" s="2" t="s">
        <v>43</v>
      </c>
      <c r="C23" s="2" t="s">
        <v>201</v>
      </c>
      <c r="D23" s="2" t="s">
        <v>202</v>
      </c>
      <c r="E23" s="2" t="s">
        <v>40</v>
      </c>
      <c r="F23" s="2" t="s">
        <v>76</v>
      </c>
      <c r="G23" s="2" t="s">
        <v>112</v>
      </c>
      <c r="H23" s="2">
        <v>2.0</v>
      </c>
      <c r="I23" s="2" t="s">
        <v>78</v>
      </c>
      <c r="J23" s="2" t="s">
        <v>190</v>
      </c>
      <c r="K23" s="2" t="s">
        <v>164</v>
      </c>
      <c r="L23" s="2" t="s">
        <v>203</v>
      </c>
      <c r="M23" s="2"/>
      <c r="N23" s="2">
        <v>6.7</v>
      </c>
      <c r="O23" s="2" t="s">
        <v>52</v>
      </c>
    </row>
    <row r="24" ht="15.75" customHeight="1">
      <c r="A24" s="2" t="s">
        <v>204</v>
      </c>
      <c r="B24" s="2" t="s">
        <v>43</v>
      </c>
      <c r="C24" s="2" t="s">
        <v>205</v>
      </c>
      <c r="D24" s="2" t="s">
        <v>206</v>
      </c>
      <c r="E24" s="2" t="s">
        <v>44</v>
      </c>
      <c r="F24" s="2" t="s">
        <v>76</v>
      </c>
      <c r="G24" s="2" t="s">
        <v>184</v>
      </c>
      <c r="H24" s="2">
        <v>3.0</v>
      </c>
      <c r="I24" s="2" t="s">
        <v>78</v>
      </c>
      <c r="J24" s="2" t="s">
        <v>190</v>
      </c>
      <c r="K24" s="2" t="s">
        <v>169</v>
      </c>
      <c r="L24" s="2" t="s">
        <v>207</v>
      </c>
      <c r="M24" s="2"/>
      <c r="N24" s="2">
        <v>8.9</v>
      </c>
      <c r="O24" s="2" t="s">
        <v>52</v>
      </c>
    </row>
    <row r="25" ht="15.75" customHeight="1">
      <c r="A25" s="2" t="s">
        <v>208</v>
      </c>
      <c r="B25" s="2" t="s">
        <v>43</v>
      </c>
      <c r="C25" s="2" t="s">
        <v>209</v>
      </c>
      <c r="D25" s="2" t="s">
        <v>210</v>
      </c>
      <c r="E25" s="2" t="s">
        <v>30</v>
      </c>
      <c r="F25" s="2" t="s">
        <v>76</v>
      </c>
      <c r="G25" s="2" t="s">
        <v>182</v>
      </c>
      <c r="H25" s="2">
        <v>2.0</v>
      </c>
      <c r="I25" s="2" t="s">
        <v>78</v>
      </c>
      <c r="J25" s="2" t="s">
        <v>190</v>
      </c>
      <c r="K25" s="2" t="s">
        <v>150</v>
      </c>
      <c r="L25" s="2" t="s">
        <v>214</v>
      </c>
      <c r="M25" s="2"/>
      <c r="N25" s="2">
        <v>2.4</v>
      </c>
      <c r="O25" s="2" t="s">
        <v>52</v>
      </c>
    </row>
    <row r="26" ht="15.75" customHeight="1">
      <c r="A26" s="2" t="s">
        <v>216</v>
      </c>
      <c r="B26" s="2" t="s">
        <v>43</v>
      </c>
      <c r="C26" s="2" t="s">
        <v>217</v>
      </c>
      <c r="D26" s="2" t="s">
        <v>219</v>
      </c>
      <c r="E26" s="2" t="s">
        <v>40</v>
      </c>
      <c r="F26" s="2" t="s">
        <v>76</v>
      </c>
      <c r="G26" s="2" t="s">
        <v>72</v>
      </c>
      <c r="H26" s="2">
        <v>2.0</v>
      </c>
      <c r="I26" s="2" t="s">
        <v>190</v>
      </c>
      <c r="J26" s="2" t="s">
        <v>190</v>
      </c>
      <c r="K26" s="2" t="s">
        <v>164</v>
      </c>
      <c r="L26" s="2" t="s">
        <v>222</v>
      </c>
      <c r="M26" s="2"/>
      <c r="N26" s="2">
        <v>6.1</v>
      </c>
      <c r="O26" s="2" t="s">
        <v>52</v>
      </c>
    </row>
    <row r="27" ht="15.75" customHeight="1">
      <c r="A27" s="2" t="s">
        <v>224</v>
      </c>
      <c r="B27" s="2" t="s">
        <v>43</v>
      </c>
      <c r="C27" s="2" t="s">
        <v>225</v>
      </c>
      <c r="D27" s="2" t="s">
        <v>226</v>
      </c>
      <c r="E27" s="2" t="s">
        <v>35</v>
      </c>
      <c r="F27" s="2" t="s">
        <v>76</v>
      </c>
      <c r="G27" s="2" t="s">
        <v>184</v>
      </c>
      <c r="H27" s="2">
        <v>3.0</v>
      </c>
      <c r="I27" s="2" t="s">
        <v>190</v>
      </c>
      <c r="J27" s="2" t="s">
        <v>190</v>
      </c>
      <c r="K27" s="2" t="s">
        <v>164</v>
      </c>
      <c r="L27" s="2" t="s">
        <v>234</v>
      </c>
      <c r="M27" s="2"/>
      <c r="N27" s="2">
        <v>6.0</v>
      </c>
      <c r="O27" s="2" t="s">
        <v>52</v>
      </c>
    </row>
    <row r="28" ht="15.75" customHeight="1">
      <c r="A28" s="2" t="s">
        <v>237</v>
      </c>
      <c r="B28" s="2" t="s">
        <v>43</v>
      </c>
      <c r="C28" s="2" t="s">
        <v>240</v>
      </c>
      <c r="D28" s="2" t="s">
        <v>244</v>
      </c>
      <c r="E28" s="2" t="s">
        <v>40</v>
      </c>
      <c r="F28" s="2" t="s">
        <v>76</v>
      </c>
      <c r="G28" s="2" t="s">
        <v>72</v>
      </c>
      <c r="H28" s="2">
        <v>1.0</v>
      </c>
      <c r="I28" s="2" t="s">
        <v>190</v>
      </c>
      <c r="J28" s="2" t="s">
        <v>248</v>
      </c>
      <c r="K28" s="2" t="s">
        <v>164</v>
      </c>
      <c r="L28" s="2" t="s">
        <v>250</v>
      </c>
      <c r="M28" s="2"/>
      <c r="N28" s="2">
        <v>5.8</v>
      </c>
      <c r="O28" s="2" t="s">
        <v>52</v>
      </c>
    </row>
    <row r="29" ht="15.75" customHeight="1">
      <c r="A29" s="2" t="s">
        <v>252</v>
      </c>
      <c r="B29" s="2" t="s">
        <v>43</v>
      </c>
      <c r="C29" s="2" t="s">
        <v>253</v>
      </c>
      <c r="D29" s="2" t="s">
        <v>254</v>
      </c>
      <c r="E29" s="2" t="s">
        <v>48</v>
      </c>
      <c r="F29" s="2" t="s">
        <v>76</v>
      </c>
      <c r="G29" s="2" t="s">
        <v>112</v>
      </c>
      <c r="H29" s="2">
        <v>3.0</v>
      </c>
      <c r="I29" s="2" t="s">
        <v>190</v>
      </c>
      <c r="J29" s="2" t="s">
        <v>248</v>
      </c>
      <c r="K29" s="2" t="s">
        <v>169</v>
      </c>
      <c r="L29" s="2" t="s">
        <v>260</v>
      </c>
      <c r="M29" s="2"/>
      <c r="N29" s="2">
        <v>7.8</v>
      </c>
      <c r="O29" s="2" t="s">
        <v>52</v>
      </c>
    </row>
    <row r="30" ht="15.75" customHeight="1">
      <c r="A30" s="2" t="s">
        <v>263</v>
      </c>
      <c r="B30" s="2" t="s">
        <v>43</v>
      </c>
      <c r="C30" s="2" t="s">
        <v>266</v>
      </c>
      <c r="D30" s="2" t="s">
        <v>270</v>
      </c>
      <c r="E30" s="2" t="s">
        <v>35</v>
      </c>
      <c r="F30" s="2" t="s">
        <v>76</v>
      </c>
      <c r="G30" s="2" t="s">
        <v>184</v>
      </c>
      <c r="H30" s="2">
        <v>3.0</v>
      </c>
      <c r="I30" s="2" t="s">
        <v>190</v>
      </c>
      <c r="J30" s="2" t="s">
        <v>248</v>
      </c>
      <c r="K30" s="2" t="s">
        <v>164</v>
      </c>
      <c r="L30" s="2" t="s">
        <v>274</v>
      </c>
      <c r="M30" s="2"/>
      <c r="N30" s="2">
        <v>5.4</v>
      </c>
      <c r="O30" s="2" t="s">
        <v>52</v>
      </c>
    </row>
    <row r="31" ht="15.75" customHeight="1">
      <c r="A31" s="2" t="s">
        <v>278</v>
      </c>
      <c r="B31" s="2" t="s">
        <v>43</v>
      </c>
      <c r="C31" s="2" t="s">
        <v>280</v>
      </c>
      <c r="D31" s="2" t="s">
        <v>286</v>
      </c>
      <c r="E31" s="2" t="s">
        <v>44</v>
      </c>
      <c r="F31" s="2" t="s">
        <v>76</v>
      </c>
      <c r="G31" s="2" t="s">
        <v>184</v>
      </c>
      <c r="H31" s="2">
        <v>3.0</v>
      </c>
      <c r="I31" s="2" t="s">
        <v>190</v>
      </c>
      <c r="J31" s="2" t="s">
        <v>248</v>
      </c>
      <c r="K31" s="2" t="s">
        <v>169</v>
      </c>
      <c r="L31" s="2" t="s">
        <v>292</v>
      </c>
      <c r="M31" s="2"/>
      <c r="N31" s="2">
        <v>7.8</v>
      </c>
      <c r="O31" s="2" t="s">
        <v>52</v>
      </c>
    </row>
    <row r="32" ht="15.75" customHeight="1">
      <c r="A32" s="2" t="s">
        <v>295</v>
      </c>
      <c r="B32" s="2" t="s">
        <v>43</v>
      </c>
      <c r="C32" s="2" t="s">
        <v>298</v>
      </c>
      <c r="D32" s="2" t="s">
        <v>300</v>
      </c>
      <c r="E32" s="2" t="s">
        <v>30</v>
      </c>
      <c r="F32" s="2" t="s">
        <v>76</v>
      </c>
      <c r="G32" s="2" t="s">
        <v>182</v>
      </c>
      <c r="H32" s="2">
        <v>3.0</v>
      </c>
      <c r="I32" s="2" t="s">
        <v>190</v>
      </c>
      <c r="J32" s="2" t="s">
        <v>248</v>
      </c>
      <c r="K32" s="2" t="s">
        <v>150</v>
      </c>
      <c r="L32" s="2" t="s">
        <v>306</v>
      </c>
      <c r="M32" s="2"/>
      <c r="N32" s="2">
        <v>2.4</v>
      </c>
      <c r="O32" s="2" t="s">
        <v>52</v>
      </c>
    </row>
    <row r="33" ht="15.75" customHeight="1">
      <c r="A33" s="2" t="s">
        <v>310</v>
      </c>
      <c r="B33" s="2" t="s">
        <v>43</v>
      </c>
      <c r="C33" s="2" t="s">
        <v>312</v>
      </c>
      <c r="D33" s="2" t="s">
        <v>55</v>
      </c>
      <c r="E33" s="2" t="s">
        <v>30</v>
      </c>
      <c r="F33" s="2" t="s">
        <v>76</v>
      </c>
      <c r="G33" s="2" t="s">
        <v>56</v>
      </c>
      <c r="H33" s="2">
        <v>2.0</v>
      </c>
      <c r="I33" s="2" t="s">
        <v>190</v>
      </c>
      <c r="J33" s="2" t="s">
        <v>248</v>
      </c>
      <c r="K33" s="2" t="s">
        <v>57</v>
      </c>
      <c r="L33" s="2" t="s">
        <v>326</v>
      </c>
      <c r="M33" s="2"/>
      <c r="N33" s="2">
        <v>60.0</v>
      </c>
      <c r="O33" s="2" t="s">
        <v>52</v>
      </c>
    </row>
    <row r="34" ht="15.75" customHeight="1">
      <c r="A34" s="2" t="s">
        <v>329</v>
      </c>
      <c r="B34" s="2" t="s">
        <v>43</v>
      </c>
      <c r="C34" s="2" t="s">
        <v>330</v>
      </c>
      <c r="D34" s="2" t="s">
        <v>331</v>
      </c>
      <c r="E34" s="2" t="s">
        <v>48</v>
      </c>
      <c r="F34" s="2" t="s">
        <v>76</v>
      </c>
      <c r="G34" s="2" t="s">
        <v>112</v>
      </c>
      <c r="H34" s="2">
        <v>2.0</v>
      </c>
      <c r="I34" s="2" t="s">
        <v>248</v>
      </c>
      <c r="J34" s="2" t="s">
        <v>248</v>
      </c>
      <c r="K34" s="2" t="s">
        <v>169</v>
      </c>
      <c r="L34" s="2" t="s">
        <v>332</v>
      </c>
      <c r="M34" s="2"/>
      <c r="N34" s="2">
        <v>7.1</v>
      </c>
      <c r="O34" s="2" t="s">
        <v>52</v>
      </c>
    </row>
    <row r="35" ht="15.75" customHeight="1">
      <c r="A35" s="2" t="s">
        <v>333</v>
      </c>
      <c r="B35" s="2" t="s">
        <v>43</v>
      </c>
      <c r="C35" s="2" t="s">
        <v>334</v>
      </c>
      <c r="D35" s="2" t="s">
        <v>335</v>
      </c>
      <c r="E35" s="2" t="s">
        <v>40</v>
      </c>
      <c r="F35" s="2" t="s">
        <v>76</v>
      </c>
      <c r="G35" s="2" t="s">
        <v>184</v>
      </c>
      <c r="H35" s="2">
        <v>2.0</v>
      </c>
      <c r="I35" s="2" t="s">
        <v>248</v>
      </c>
      <c r="J35" s="2" t="s">
        <v>248</v>
      </c>
      <c r="K35" s="2" t="s">
        <v>164</v>
      </c>
      <c r="L35" s="2" t="s">
        <v>336</v>
      </c>
      <c r="M35" s="2"/>
      <c r="N35" s="2">
        <v>5.3</v>
      </c>
      <c r="O35" s="2" t="s">
        <v>52</v>
      </c>
    </row>
    <row r="36" ht="15.75" customHeight="1">
      <c r="A36" s="2" t="s">
        <v>337</v>
      </c>
      <c r="B36" s="2" t="s">
        <v>43</v>
      </c>
      <c r="C36" s="2" t="s">
        <v>338</v>
      </c>
      <c r="D36" s="2" t="s">
        <v>339</v>
      </c>
      <c r="E36" s="2" t="s">
        <v>44</v>
      </c>
      <c r="F36" s="2" t="s">
        <v>76</v>
      </c>
      <c r="G36" s="2" t="s">
        <v>184</v>
      </c>
      <c r="H36" s="2">
        <v>2.0</v>
      </c>
      <c r="I36" s="2" t="s">
        <v>248</v>
      </c>
      <c r="J36" s="2" t="s">
        <v>248</v>
      </c>
      <c r="K36" s="2" t="s">
        <v>169</v>
      </c>
      <c r="L36" s="2" t="s">
        <v>340</v>
      </c>
      <c r="M36" s="2"/>
      <c r="N36" s="2">
        <v>7.0</v>
      </c>
      <c r="O36" s="2" t="s">
        <v>52</v>
      </c>
    </row>
    <row r="37" ht="15.75" customHeight="1">
      <c r="A37" s="2" t="s">
        <v>341</v>
      </c>
      <c r="B37" s="2" t="s">
        <v>43</v>
      </c>
      <c r="C37" s="2" t="s">
        <v>342</v>
      </c>
      <c r="D37" s="2" t="s">
        <v>343</v>
      </c>
      <c r="E37" s="2" t="s">
        <v>40</v>
      </c>
      <c r="F37" s="2" t="s">
        <v>76</v>
      </c>
      <c r="G37" s="2" t="s">
        <v>184</v>
      </c>
      <c r="H37" s="2">
        <v>1.0</v>
      </c>
      <c r="I37" s="2" t="s">
        <v>248</v>
      </c>
      <c r="J37" s="2" t="s">
        <v>248</v>
      </c>
      <c r="K37" s="2" t="s">
        <v>164</v>
      </c>
      <c r="L37" s="2" t="s">
        <v>344</v>
      </c>
      <c r="M37" s="2"/>
      <c r="N37" s="2">
        <v>5.0</v>
      </c>
      <c r="O37" s="2" t="s">
        <v>52</v>
      </c>
    </row>
    <row r="38" ht="15.75" customHeight="1">
      <c r="A38" s="8" t="s">
        <v>345</v>
      </c>
      <c r="B38" s="8" t="s">
        <v>43</v>
      </c>
      <c r="C38" s="8" t="s">
        <v>346</v>
      </c>
      <c r="D38" s="8" t="s">
        <v>347</v>
      </c>
      <c r="E38" s="8" t="s">
        <v>30</v>
      </c>
      <c r="F38" s="8" t="s">
        <v>76</v>
      </c>
      <c r="G38" s="8" t="s">
        <v>182</v>
      </c>
      <c r="H38" s="8">
        <v>3.0</v>
      </c>
      <c r="I38" s="8" t="s">
        <v>248</v>
      </c>
      <c r="J38" s="8" t="s">
        <v>348</v>
      </c>
      <c r="K38" s="8" t="s">
        <v>349</v>
      </c>
      <c r="L38" s="8" t="s">
        <v>350</v>
      </c>
      <c r="M38" s="8" t="s">
        <v>351</v>
      </c>
      <c r="N38" s="8">
        <v>1.4</v>
      </c>
      <c r="O38" s="8" t="s">
        <v>352</v>
      </c>
    </row>
    <row r="39" ht="15.75" customHeight="1">
      <c r="A39" s="2" t="s">
        <v>353</v>
      </c>
      <c r="B39" s="2" t="s">
        <v>43</v>
      </c>
      <c r="C39" s="2" t="s">
        <v>354</v>
      </c>
      <c r="D39" s="2" t="s">
        <v>355</v>
      </c>
      <c r="E39" s="2" t="s">
        <v>48</v>
      </c>
      <c r="F39" s="2" t="s">
        <v>76</v>
      </c>
      <c r="G39" s="2" t="s">
        <v>72</v>
      </c>
      <c r="H39" s="2">
        <v>2.0</v>
      </c>
      <c r="I39" s="2" t="s">
        <v>248</v>
      </c>
      <c r="J39" s="2" t="s">
        <v>348</v>
      </c>
      <c r="K39" s="2" t="s">
        <v>169</v>
      </c>
      <c r="L39" s="2" t="s">
        <v>356</v>
      </c>
      <c r="M39" s="2"/>
      <c r="N39" s="2">
        <v>6.5</v>
      </c>
      <c r="O39" s="2" t="s">
        <v>52</v>
      </c>
    </row>
    <row r="40" ht="15.75" customHeight="1">
      <c r="A40" s="2" t="s">
        <v>357</v>
      </c>
      <c r="B40" s="2" t="s">
        <v>43</v>
      </c>
      <c r="C40" s="2" t="s">
        <v>358</v>
      </c>
      <c r="D40" s="2" t="s">
        <v>359</v>
      </c>
      <c r="E40" s="2" t="s">
        <v>40</v>
      </c>
      <c r="F40" s="2" t="s">
        <v>76</v>
      </c>
      <c r="G40" s="2" t="s">
        <v>184</v>
      </c>
      <c r="H40" s="2">
        <v>1.0</v>
      </c>
      <c r="I40" s="2" t="s">
        <v>248</v>
      </c>
      <c r="J40" s="2" t="s">
        <v>348</v>
      </c>
      <c r="K40" s="2" t="s">
        <v>164</v>
      </c>
      <c r="L40" s="2" t="s">
        <v>360</v>
      </c>
      <c r="M40" s="2"/>
      <c r="N40" s="2">
        <v>4.8</v>
      </c>
      <c r="O40" s="2" t="s">
        <v>52</v>
      </c>
    </row>
    <row r="41" ht="15.75" customHeight="1">
      <c r="A41" s="2" t="s">
        <v>361</v>
      </c>
      <c r="B41" s="2" t="s">
        <v>43</v>
      </c>
      <c r="C41" s="2" t="s">
        <v>362</v>
      </c>
      <c r="D41" s="2" t="s">
        <v>363</v>
      </c>
      <c r="E41" s="2" t="s">
        <v>35</v>
      </c>
      <c r="F41" s="2" t="s">
        <v>76</v>
      </c>
      <c r="G41" s="2" t="s">
        <v>184</v>
      </c>
      <c r="H41" s="2">
        <v>5.0</v>
      </c>
      <c r="I41" s="2" t="s">
        <v>248</v>
      </c>
      <c r="J41" s="2" t="s">
        <v>348</v>
      </c>
      <c r="K41" s="2" t="s">
        <v>164</v>
      </c>
      <c r="L41" s="2" t="s">
        <v>364</v>
      </c>
      <c r="M41" s="2"/>
      <c r="N41" s="2">
        <v>4.3</v>
      </c>
      <c r="O41" s="2" t="s">
        <v>89</v>
      </c>
    </row>
    <row r="42" ht="15.75" customHeight="1">
      <c r="A42" s="2" t="s">
        <v>365</v>
      </c>
      <c r="B42" s="2" t="s">
        <v>43</v>
      </c>
      <c r="C42" s="2" t="s">
        <v>366</v>
      </c>
      <c r="D42" s="2" t="s">
        <v>367</v>
      </c>
      <c r="E42" s="2" t="s">
        <v>48</v>
      </c>
      <c r="F42" s="2" t="s">
        <v>76</v>
      </c>
      <c r="G42" s="2" t="s">
        <v>72</v>
      </c>
      <c r="H42" s="2">
        <v>1.0</v>
      </c>
      <c r="I42" s="2" t="s">
        <v>348</v>
      </c>
      <c r="J42" s="2" t="s">
        <v>348</v>
      </c>
      <c r="K42" s="2" t="s">
        <v>169</v>
      </c>
      <c r="L42" s="2" t="s">
        <v>368</v>
      </c>
      <c r="M42" s="2"/>
      <c r="N42" s="2">
        <v>6.1</v>
      </c>
      <c r="O42" s="2" t="s">
        <v>52</v>
      </c>
    </row>
    <row r="43" ht="15.75" customHeight="1">
      <c r="A43" s="2" t="s">
        <v>369</v>
      </c>
      <c r="B43" s="2" t="s">
        <v>43</v>
      </c>
      <c r="C43" s="2" t="s">
        <v>370</v>
      </c>
      <c r="D43" s="2" t="s">
        <v>371</v>
      </c>
      <c r="E43" s="2" t="s">
        <v>44</v>
      </c>
      <c r="F43" s="2" t="s">
        <v>76</v>
      </c>
      <c r="G43" s="2" t="s">
        <v>184</v>
      </c>
      <c r="H43" s="2">
        <v>1.0</v>
      </c>
      <c r="I43" s="2" t="s">
        <v>348</v>
      </c>
      <c r="J43" s="2" t="s">
        <v>348</v>
      </c>
      <c r="K43" s="2" t="s">
        <v>169</v>
      </c>
      <c r="L43" s="2" t="s">
        <v>372</v>
      </c>
      <c r="M43" s="2"/>
      <c r="N43" s="2">
        <v>6.6</v>
      </c>
      <c r="O43" s="2" t="s">
        <v>52</v>
      </c>
    </row>
    <row r="44" ht="15.75" customHeight="1">
      <c r="A44" s="2" t="s">
        <v>373</v>
      </c>
      <c r="B44" s="2" t="s">
        <v>43</v>
      </c>
      <c r="C44" s="2" t="s">
        <v>374</v>
      </c>
      <c r="D44" s="2" t="s">
        <v>375</v>
      </c>
      <c r="E44" s="2" t="s">
        <v>40</v>
      </c>
      <c r="F44" s="2" t="s">
        <v>76</v>
      </c>
      <c r="G44" s="2" t="s">
        <v>184</v>
      </c>
      <c r="H44" s="2">
        <v>2.0</v>
      </c>
      <c r="I44" s="2" t="s">
        <v>348</v>
      </c>
      <c r="J44" s="2" t="s">
        <v>348</v>
      </c>
      <c r="K44" s="2" t="s">
        <v>164</v>
      </c>
      <c r="L44" s="2" t="s">
        <v>376</v>
      </c>
      <c r="M44" s="2"/>
      <c r="N44" s="2">
        <v>4.2</v>
      </c>
      <c r="O44" s="2" t="s">
        <v>52</v>
      </c>
    </row>
    <row r="45" ht="15.75" customHeight="1">
      <c r="A45" s="8" t="s">
        <v>378</v>
      </c>
      <c r="B45" s="8" t="s">
        <v>43</v>
      </c>
      <c r="C45" s="8" t="s">
        <v>379</v>
      </c>
      <c r="D45" s="8" t="s">
        <v>380</v>
      </c>
      <c r="E45" s="8" t="s">
        <v>30</v>
      </c>
      <c r="F45" s="8" t="s">
        <v>76</v>
      </c>
      <c r="G45" s="8" t="s">
        <v>182</v>
      </c>
      <c r="H45" s="8">
        <v>5.0</v>
      </c>
      <c r="I45" s="8" t="s">
        <v>348</v>
      </c>
      <c r="J45" s="8" t="s">
        <v>381</v>
      </c>
      <c r="K45" s="8" t="s">
        <v>349</v>
      </c>
      <c r="L45" s="8" t="s">
        <v>382</v>
      </c>
      <c r="M45" s="8" t="s">
        <v>351</v>
      </c>
      <c r="N45" s="8">
        <v>1.4</v>
      </c>
      <c r="O45" s="8" t="s">
        <v>352</v>
      </c>
    </row>
    <row r="46" ht="15.75" customHeight="1">
      <c r="A46" s="2" t="s">
        <v>383</v>
      </c>
      <c r="B46" s="2" t="s">
        <v>43</v>
      </c>
      <c r="C46" s="2" t="s">
        <v>384</v>
      </c>
      <c r="D46" s="2" t="s">
        <v>385</v>
      </c>
      <c r="E46" s="2" t="s">
        <v>35</v>
      </c>
      <c r="F46" s="2" t="s">
        <v>76</v>
      </c>
      <c r="G46" s="2" t="s">
        <v>72</v>
      </c>
      <c r="H46" s="2">
        <v>2.0</v>
      </c>
      <c r="I46" s="2" t="s">
        <v>348</v>
      </c>
      <c r="J46" s="2" t="s">
        <v>381</v>
      </c>
      <c r="K46" s="2" t="s">
        <v>164</v>
      </c>
      <c r="L46" s="2" t="s">
        <v>386</v>
      </c>
      <c r="M46" s="2"/>
      <c r="N46" s="2">
        <v>3.8</v>
      </c>
      <c r="O46" s="2" t="s">
        <v>52</v>
      </c>
    </row>
    <row r="47" ht="15.75" customHeight="1">
      <c r="A47" s="2" t="s">
        <v>387</v>
      </c>
      <c r="B47" s="2" t="s">
        <v>43</v>
      </c>
      <c r="C47" s="2" t="s">
        <v>388</v>
      </c>
      <c r="D47" s="2" t="s">
        <v>389</v>
      </c>
      <c r="E47" s="2" t="s">
        <v>48</v>
      </c>
      <c r="F47" s="2" t="s">
        <v>76</v>
      </c>
      <c r="G47" s="2" t="s">
        <v>72</v>
      </c>
      <c r="H47" s="2">
        <v>1.0</v>
      </c>
      <c r="I47" s="2" t="s">
        <v>348</v>
      </c>
      <c r="J47" s="2" t="s">
        <v>381</v>
      </c>
      <c r="K47" s="2" t="s">
        <v>169</v>
      </c>
      <c r="L47" s="2" t="s">
        <v>390</v>
      </c>
      <c r="M47" s="2"/>
      <c r="N47" s="2">
        <v>5.8</v>
      </c>
      <c r="O47" s="2" t="s">
        <v>52</v>
      </c>
    </row>
    <row r="48" ht="15.75" customHeight="1">
      <c r="A48" s="2" t="s">
        <v>391</v>
      </c>
      <c r="B48" s="2" t="s">
        <v>43</v>
      </c>
      <c r="C48" s="2" t="s">
        <v>392</v>
      </c>
      <c r="D48" s="2" t="s">
        <v>393</v>
      </c>
      <c r="E48" s="2" t="s">
        <v>40</v>
      </c>
      <c r="F48" s="2" t="s">
        <v>76</v>
      </c>
      <c r="G48" s="2" t="s">
        <v>112</v>
      </c>
      <c r="H48" s="2">
        <v>2.0</v>
      </c>
      <c r="I48" s="2" t="s">
        <v>348</v>
      </c>
      <c r="J48" s="2" t="s">
        <v>381</v>
      </c>
      <c r="K48" s="2" t="s">
        <v>164</v>
      </c>
      <c r="L48" s="2" t="s">
        <v>394</v>
      </c>
      <c r="M48" s="2"/>
      <c r="N48" s="2">
        <v>3.7</v>
      </c>
      <c r="O48" s="2" t="s">
        <v>52</v>
      </c>
    </row>
    <row r="49" ht="15.75" customHeight="1">
      <c r="A49" s="2" t="s">
        <v>395</v>
      </c>
      <c r="B49" s="2" t="s">
        <v>43</v>
      </c>
      <c r="C49" s="2" t="s">
        <v>396</v>
      </c>
      <c r="D49" s="2" t="s">
        <v>397</v>
      </c>
      <c r="E49" s="2" t="s">
        <v>44</v>
      </c>
      <c r="F49" s="2" t="s">
        <v>76</v>
      </c>
      <c r="G49" s="2" t="s">
        <v>184</v>
      </c>
      <c r="H49" s="2">
        <v>3.0</v>
      </c>
      <c r="I49" s="2" t="s">
        <v>348</v>
      </c>
      <c r="J49" s="2" t="s">
        <v>381</v>
      </c>
      <c r="K49" s="2" t="s">
        <v>169</v>
      </c>
      <c r="L49" s="2" t="s">
        <v>398</v>
      </c>
      <c r="M49" s="2"/>
      <c r="N49" s="2">
        <v>5.5</v>
      </c>
      <c r="O49" s="2" t="s">
        <v>52</v>
      </c>
    </row>
    <row r="50" ht="15.75" customHeight="1">
      <c r="A50" s="2" t="s">
        <v>399</v>
      </c>
      <c r="B50" s="2" t="s">
        <v>43</v>
      </c>
      <c r="C50" s="2" t="s">
        <v>400</v>
      </c>
      <c r="D50" s="2" t="s">
        <v>401</v>
      </c>
      <c r="E50" s="2" t="s">
        <v>35</v>
      </c>
      <c r="F50" s="2" t="s">
        <v>76</v>
      </c>
      <c r="G50" s="2" t="s">
        <v>72</v>
      </c>
      <c r="H50" s="2">
        <v>3.0</v>
      </c>
      <c r="I50" s="2" t="s">
        <v>381</v>
      </c>
      <c r="J50" s="2" t="s">
        <v>381</v>
      </c>
      <c r="K50" s="2" t="s">
        <v>164</v>
      </c>
      <c r="L50" s="2" t="s">
        <v>402</v>
      </c>
      <c r="M50" s="2"/>
      <c r="N50" s="2">
        <v>3.2</v>
      </c>
      <c r="O50" s="2" t="s">
        <v>52</v>
      </c>
    </row>
    <row r="51" ht="15.75" customHeight="1">
      <c r="A51" s="2" t="s">
        <v>403</v>
      </c>
      <c r="B51" s="2" t="s">
        <v>43</v>
      </c>
      <c r="C51" s="2" t="s">
        <v>404</v>
      </c>
      <c r="D51" s="2" t="s">
        <v>405</v>
      </c>
      <c r="E51" s="2" t="s">
        <v>48</v>
      </c>
      <c r="F51" s="2" t="s">
        <v>76</v>
      </c>
      <c r="G51" s="2" t="s">
        <v>112</v>
      </c>
      <c r="H51" s="2">
        <v>2.0</v>
      </c>
      <c r="I51" s="2" t="s">
        <v>381</v>
      </c>
      <c r="J51" s="2" t="s">
        <v>381</v>
      </c>
      <c r="K51" s="2" t="s">
        <v>169</v>
      </c>
      <c r="L51" s="2" t="s">
        <v>406</v>
      </c>
      <c r="M51" s="2"/>
      <c r="N51" s="2">
        <v>5.2</v>
      </c>
      <c r="O51" s="2" t="s">
        <v>52</v>
      </c>
    </row>
    <row r="52" ht="15.75" customHeight="1">
      <c r="A52" s="2" t="s">
        <v>407</v>
      </c>
      <c r="B52" s="2" t="s">
        <v>43</v>
      </c>
      <c r="C52" s="2" t="s">
        <v>408</v>
      </c>
      <c r="D52" s="2" t="s">
        <v>409</v>
      </c>
      <c r="E52" s="2" t="s">
        <v>40</v>
      </c>
      <c r="F52" s="2" t="s">
        <v>76</v>
      </c>
      <c r="G52" s="2" t="s">
        <v>112</v>
      </c>
      <c r="H52" s="2">
        <v>1.0</v>
      </c>
      <c r="I52" s="2" t="s">
        <v>381</v>
      </c>
      <c r="J52" s="2" t="s">
        <v>381</v>
      </c>
      <c r="K52" s="2" t="s">
        <v>164</v>
      </c>
      <c r="L52" s="2" t="s">
        <v>410</v>
      </c>
      <c r="M52" s="2"/>
      <c r="N52" s="2">
        <v>3.4</v>
      </c>
      <c r="O52" s="2" t="s">
        <v>52</v>
      </c>
    </row>
    <row r="53" ht="15.75" customHeight="1">
      <c r="A53" s="2" t="s">
        <v>411</v>
      </c>
      <c r="B53" s="2" t="s">
        <v>43</v>
      </c>
      <c r="C53" s="2" t="s">
        <v>412</v>
      </c>
      <c r="D53" s="2" t="s">
        <v>413</v>
      </c>
      <c r="E53" s="2" t="s">
        <v>44</v>
      </c>
      <c r="F53" s="2" t="s">
        <v>76</v>
      </c>
      <c r="G53" s="2" t="s">
        <v>184</v>
      </c>
      <c r="H53" s="2">
        <v>1.0</v>
      </c>
      <c r="I53" s="2" t="s">
        <v>381</v>
      </c>
      <c r="J53" s="2" t="s">
        <v>381</v>
      </c>
      <c r="K53" s="2" t="s">
        <v>169</v>
      </c>
      <c r="L53" s="2" t="s">
        <v>414</v>
      </c>
      <c r="M53" s="2"/>
      <c r="N53" s="2">
        <v>5.1</v>
      </c>
      <c r="O53" s="2" t="s">
        <v>52</v>
      </c>
    </row>
    <row r="54" ht="15.75" customHeight="1">
      <c r="A54" s="2" t="s">
        <v>415</v>
      </c>
      <c r="B54" s="2" t="s">
        <v>43</v>
      </c>
      <c r="C54" s="2" t="s">
        <v>416</v>
      </c>
      <c r="D54" s="2" t="s">
        <v>417</v>
      </c>
      <c r="E54" s="2" t="s">
        <v>35</v>
      </c>
      <c r="F54" s="2" t="s">
        <v>76</v>
      </c>
      <c r="G54" s="2" t="s">
        <v>72</v>
      </c>
      <c r="H54" s="2">
        <v>2.0</v>
      </c>
      <c r="I54" s="2" t="s">
        <v>381</v>
      </c>
      <c r="J54" s="2" t="s">
        <v>418</v>
      </c>
      <c r="K54" s="2" t="s">
        <v>164</v>
      </c>
      <c r="L54" s="2" t="s">
        <v>419</v>
      </c>
      <c r="M54" s="2"/>
      <c r="N54" s="2">
        <v>2.8</v>
      </c>
      <c r="O54" s="2" t="s">
        <v>52</v>
      </c>
    </row>
    <row r="55" ht="15.75" customHeight="1">
      <c r="A55" s="2" t="s">
        <v>420</v>
      </c>
      <c r="B55" s="2" t="s">
        <v>43</v>
      </c>
      <c r="C55" s="2" t="s">
        <v>421</v>
      </c>
      <c r="D55" s="2" t="s">
        <v>422</v>
      </c>
      <c r="E55" s="2" t="s">
        <v>48</v>
      </c>
      <c r="F55" s="2" t="s">
        <v>76</v>
      </c>
      <c r="G55" s="2" t="s">
        <v>112</v>
      </c>
      <c r="H55" s="2">
        <v>1.0</v>
      </c>
      <c r="I55" s="2" t="s">
        <v>381</v>
      </c>
      <c r="J55" s="2" t="s">
        <v>418</v>
      </c>
      <c r="K55" s="2" t="s">
        <v>169</v>
      </c>
      <c r="L55" s="2" t="s">
        <v>423</v>
      </c>
      <c r="M55" s="2"/>
      <c r="N55" s="2">
        <v>4.9</v>
      </c>
      <c r="O55" s="2" t="s">
        <v>52</v>
      </c>
    </row>
    <row r="56" ht="15.75" customHeight="1">
      <c r="A56" s="2" t="s">
        <v>424</v>
      </c>
      <c r="B56" s="2" t="s">
        <v>43</v>
      </c>
      <c r="C56" s="2" t="s">
        <v>425</v>
      </c>
      <c r="D56" s="2" t="s">
        <v>426</v>
      </c>
      <c r="E56" s="2" t="s">
        <v>44</v>
      </c>
      <c r="F56" s="2" t="s">
        <v>76</v>
      </c>
      <c r="G56" s="2" t="s">
        <v>184</v>
      </c>
      <c r="H56" s="2">
        <v>2.0</v>
      </c>
      <c r="I56" s="2" t="s">
        <v>381</v>
      </c>
      <c r="J56" s="2" t="s">
        <v>418</v>
      </c>
      <c r="K56" s="2" t="s">
        <v>169</v>
      </c>
      <c r="L56" s="2" t="s">
        <v>427</v>
      </c>
      <c r="M56" s="2"/>
      <c r="N56" s="2">
        <v>4.4</v>
      </c>
      <c r="O56" s="2" t="s">
        <v>52</v>
      </c>
    </row>
    <row r="57" ht="15.75" customHeight="1">
      <c r="A57" s="8" t="s">
        <v>428</v>
      </c>
      <c r="B57" s="8" t="s">
        <v>43</v>
      </c>
      <c r="C57" s="8" t="s">
        <v>429</v>
      </c>
      <c r="D57" s="8" t="s">
        <v>430</v>
      </c>
      <c r="E57" s="8" t="s">
        <v>40</v>
      </c>
      <c r="F57" s="8" t="s">
        <v>76</v>
      </c>
      <c r="G57" s="8" t="s">
        <v>112</v>
      </c>
      <c r="H57" s="8">
        <v>3.0</v>
      </c>
      <c r="I57" s="8" t="s">
        <v>418</v>
      </c>
      <c r="J57" s="8" t="s">
        <v>418</v>
      </c>
      <c r="K57" s="8" t="s">
        <v>431</v>
      </c>
      <c r="L57" s="8" t="s">
        <v>432</v>
      </c>
      <c r="M57" s="8" t="s">
        <v>351</v>
      </c>
      <c r="N57" s="8">
        <v>1.4</v>
      </c>
      <c r="O57" s="8" t="s">
        <v>352</v>
      </c>
    </row>
    <row r="58" ht="15.75" customHeight="1">
      <c r="A58" s="2" t="s">
        <v>433</v>
      </c>
      <c r="B58" s="2" t="s">
        <v>43</v>
      </c>
      <c r="C58" s="2" t="s">
        <v>434</v>
      </c>
      <c r="D58" s="2" t="s">
        <v>435</v>
      </c>
      <c r="E58" s="2" t="s">
        <v>35</v>
      </c>
      <c r="F58" s="2" t="s">
        <v>76</v>
      </c>
      <c r="G58" s="2" t="s">
        <v>72</v>
      </c>
      <c r="H58" s="2">
        <v>2.0</v>
      </c>
      <c r="I58" s="2" t="s">
        <v>418</v>
      </c>
      <c r="J58" s="2" t="s">
        <v>418</v>
      </c>
      <c r="K58" s="2" t="s">
        <v>164</v>
      </c>
      <c r="L58" s="2" t="s">
        <v>436</v>
      </c>
      <c r="M58" s="2"/>
      <c r="N58" s="2">
        <v>2.3</v>
      </c>
      <c r="O58" s="2" t="s">
        <v>52</v>
      </c>
    </row>
    <row r="59" ht="15.75" customHeight="1">
      <c r="A59" s="2" t="s">
        <v>437</v>
      </c>
      <c r="B59" s="2" t="s">
        <v>43</v>
      </c>
      <c r="C59" s="2" t="s">
        <v>438</v>
      </c>
      <c r="D59" s="2" t="s">
        <v>439</v>
      </c>
      <c r="E59" s="2" t="s">
        <v>30</v>
      </c>
      <c r="F59" s="2" t="s">
        <v>76</v>
      </c>
      <c r="G59" s="2" t="s">
        <v>112</v>
      </c>
      <c r="H59" s="2">
        <v>3.0</v>
      </c>
      <c r="I59" s="2" t="s">
        <v>418</v>
      </c>
      <c r="J59" s="2" t="s">
        <v>418</v>
      </c>
      <c r="K59" s="2" t="s">
        <v>164</v>
      </c>
      <c r="L59" s="2" t="s">
        <v>440</v>
      </c>
      <c r="M59" s="2"/>
      <c r="N59" s="2">
        <v>2.0</v>
      </c>
      <c r="O59" s="2" t="s">
        <v>52</v>
      </c>
    </row>
    <row r="60" ht="15.75" customHeight="1">
      <c r="A60" s="8" t="s">
        <v>441</v>
      </c>
      <c r="B60" s="8" t="s">
        <v>43</v>
      </c>
      <c r="C60" s="8" t="s">
        <v>442</v>
      </c>
      <c r="D60" s="8" t="s">
        <v>443</v>
      </c>
      <c r="E60" s="8" t="s">
        <v>40</v>
      </c>
      <c r="F60" s="8" t="s">
        <v>76</v>
      </c>
      <c r="G60" s="8" t="s">
        <v>112</v>
      </c>
      <c r="H60" s="8">
        <v>3.0</v>
      </c>
      <c r="I60" s="8" t="s">
        <v>418</v>
      </c>
      <c r="J60" s="8" t="s">
        <v>444</v>
      </c>
      <c r="K60" s="8" t="s">
        <v>431</v>
      </c>
      <c r="L60" s="8" t="s">
        <v>445</v>
      </c>
      <c r="M60" s="8" t="s">
        <v>351</v>
      </c>
      <c r="N60" s="8">
        <v>1.4</v>
      </c>
      <c r="O60" s="8" t="s">
        <v>352</v>
      </c>
    </row>
    <row r="61" ht="15.75" customHeight="1">
      <c r="A61" s="2" t="s">
        <v>446</v>
      </c>
      <c r="B61" s="2" t="s">
        <v>43</v>
      </c>
      <c r="C61" s="2" t="s">
        <v>447</v>
      </c>
      <c r="D61" s="2" t="s">
        <v>448</v>
      </c>
      <c r="E61" s="2" t="s">
        <v>48</v>
      </c>
      <c r="F61" s="2" t="s">
        <v>76</v>
      </c>
      <c r="G61" s="2" t="s">
        <v>112</v>
      </c>
      <c r="H61" s="2">
        <v>3.0</v>
      </c>
      <c r="I61" s="2" t="s">
        <v>418</v>
      </c>
      <c r="J61" s="2" t="s">
        <v>444</v>
      </c>
      <c r="K61" s="2" t="s">
        <v>169</v>
      </c>
      <c r="L61" s="2" t="s">
        <v>449</v>
      </c>
      <c r="M61" s="2"/>
      <c r="N61" s="2">
        <v>3.9</v>
      </c>
      <c r="O61" s="2" t="s">
        <v>52</v>
      </c>
    </row>
    <row r="62" ht="15.75" customHeight="1">
      <c r="A62" s="2" t="s">
        <v>450</v>
      </c>
      <c r="B62" s="2" t="s">
        <v>43</v>
      </c>
      <c r="C62" s="2" t="s">
        <v>451</v>
      </c>
      <c r="D62" s="2" t="s">
        <v>452</v>
      </c>
      <c r="E62" s="2" t="s">
        <v>44</v>
      </c>
      <c r="F62" s="2" t="s">
        <v>76</v>
      </c>
      <c r="G62" s="2" t="s">
        <v>112</v>
      </c>
      <c r="H62" s="2">
        <v>2.0</v>
      </c>
      <c r="I62" s="2" t="s">
        <v>418</v>
      </c>
      <c r="J62" s="2" t="s">
        <v>444</v>
      </c>
      <c r="K62" s="2" t="s">
        <v>169</v>
      </c>
      <c r="L62" s="2" t="s">
        <v>453</v>
      </c>
      <c r="M62" s="2"/>
      <c r="N62" s="2">
        <v>3.6</v>
      </c>
      <c r="O62" s="2" t="s">
        <v>52</v>
      </c>
    </row>
    <row r="63" ht="15.75" customHeight="1">
      <c r="A63" s="2" t="s">
        <v>454</v>
      </c>
      <c r="B63" s="2" t="s">
        <v>43</v>
      </c>
      <c r="C63" s="2" t="s">
        <v>455</v>
      </c>
      <c r="D63" s="2" t="s">
        <v>456</v>
      </c>
      <c r="E63" s="2" t="s">
        <v>35</v>
      </c>
      <c r="F63" s="2" t="s">
        <v>76</v>
      </c>
      <c r="G63" s="2" t="s">
        <v>184</v>
      </c>
      <c r="H63" s="2">
        <v>3.0</v>
      </c>
      <c r="I63" s="2" t="s">
        <v>418</v>
      </c>
      <c r="J63" s="2" t="s">
        <v>444</v>
      </c>
      <c r="K63" s="2" t="s">
        <v>164</v>
      </c>
      <c r="L63" s="2" t="s">
        <v>457</v>
      </c>
      <c r="M63" s="2"/>
      <c r="N63" s="2">
        <v>1.7</v>
      </c>
      <c r="O63" s="2" t="s">
        <v>52</v>
      </c>
    </row>
    <row r="64" ht="15.75" customHeight="1">
      <c r="A64" s="8" t="s">
        <v>458</v>
      </c>
      <c r="B64" s="8" t="s">
        <v>43</v>
      </c>
      <c r="C64" s="8" t="s">
        <v>459</v>
      </c>
      <c r="D64" s="8" t="s">
        <v>460</v>
      </c>
      <c r="E64" s="8" t="s">
        <v>35</v>
      </c>
      <c r="F64" s="8" t="s">
        <v>76</v>
      </c>
      <c r="G64" s="8" t="s">
        <v>184</v>
      </c>
      <c r="H64" s="8">
        <v>3.0</v>
      </c>
      <c r="I64" s="8" t="s">
        <v>444</v>
      </c>
      <c r="J64" s="8" t="s">
        <v>444</v>
      </c>
      <c r="K64" s="8" t="s">
        <v>431</v>
      </c>
      <c r="L64" s="8" t="s">
        <v>461</v>
      </c>
      <c r="M64" s="8" t="s">
        <v>351</v>
      </c>
      <c r="N64" s="8">
        <v>1.0</v>
      </c>
      <c r="O64" s="8" t="s">
        <v>352</v>
      </c>
    </row>
    <row r="65" ht="15.75" customHeight="1">
      <c r="A65" s="2" t="s">
        <v>462</v>
      </c>
      <c r="B65" s="2" t="s">
        <v>43</v>
      </c>
      <c r="C65" s="2" t="s">
        <v>463</v>
      </c>
      <c r="D65" s="2" t="s">
        <v>464</v>
      </c>
      <c r="E65" s="2" t="s">
        <v>30</v>
      </c>
      <c r="F65" s="2" t="s">
        <v>76</v>
      </c>
      <c r="G65" s="2" t="s">
        <v>24</v>
      </c>
      <c r="H65" s="2">
        <v>3.0</v>
      </c>
      <c r="I65" s="2" t="s">
        <v>444</v>
      </c>
      <c r="J65" s="2" t="s">
        <v>444</v>
      </c>
      <c r="K65" s="2" t="s">
        <v>50</v>
      </c>
      <c r="L65" s="2" t="s">
        <v>465</v>
      </c>
      <c r="M65" s="2"/>
      <c r="N65" s="2">
        <v>3.0</v>
      </c>
      <c r="O65" s="2" t="s">
        <v>52</v>
      </c>
    </row>
    <row r="66" ht="15.75" customHeight="1">
      <c r="A66" s="8" t="s">
        <v>466</v>
      </c>
      <c r="B66" s="8" t="s">
        <v>43</v>
      </c>
      <c r="C66" s="8" t="s">
        <v>467</v>
      </c>
      <c r="D66" s="8" t="s">
        <v>468</v>
      </c>
      <c r="E66" s="8" t="s">
        <v>40</v>
      </c>
      <c r="F66" s="8" t="s">
        <v>76</v>
      </c>
      <c r="G66" s="8" t="s">
        <v>112</v>
      </c>
      <c r="H66" s="8">
        <v>3.0</v>
      </c>
      <c r="I66" s="8" t="s">
        <v>444</v>
      </c>
      <c r="J66" s="8" t="s">
        <v>319</v>
      </c>
      <c r="K66" s="8" t="s">
        <v>431</v>
      </c>
      <c r="L66" s="8" t="s">
        <v>469</v>
      </c>
      <c r="M66" s="8" t="s">
        <v>351</v>
      </c>
      <c r="N66" s="8">
        <v>0.6</v>
      </c>
      <c r="O66" s="8" t="s">
        <v>352</v>
      </c>
    </row>
    <row r="67" ht="15.75" customHeight="1">
      <c r="A67" s="2" t="s">
        <v>470</v>
      </c>
      <c r="B67" s="2" t="s">
        <v>43</v>
      </c>
      <c r="C67" s="2" t="s">
        <v>471</v>
      </c>
      <c r="D67" s="2" t="s">
        <v>472</v>
      </c>
      <c r="E67" s="2" t="s">
        <v>48</v>
      </c>
      <c r="F67" s="2" t="s">
        <v>76</v>
      </c>
      <c r="G67" s="2" t="s">
        <v>112</v>
      </c>
      <c r="H67" s="2">
        <v>3.0</v>
      </c>
      <c r="I67" s="2" t="s">
        <v>444</v>
      </c>
      <c r="J67" s="2" t="s">
        <v>319</v>
      </c>
      <c r="K67" s="2" t="s">
        <v>169</v>
      </c>
      <c r="L67" s="2" t="s">
        <v>473</v>
      </c>
      <c r="M67" s="2"/>
      <c r="N67" s="2">
        <v>2.9</v>
      </c>
      <c r="O67" s="2" t="s">
        <v>52</v>
      </c>
    </row>
    <row r="68" ht="15.75" customHeight="1">
      <c r="A68" s="2" t="s">
        <v>474</v>
      </c>
      <c r="B68" s="2" t="s">
        <v>43</v>
      </c>
      <c r="C68" s="2" t="s">
        <v>475</v>
      </c>
      <c r="D68" s="2" t="s">
        <v>476</v>
      </c>
      <c r="E68" s="2" t="s">
        <v>44</v>
      </c>
      <c r="F68" s="2" t="s">
        <v>76</v>
      </c>
      <c r="G68" s="2" t="s">
        <v>184</v>
      </c>
      <c r="H68" s="2">
        <v>5.0</v>
      </c>
      <c r="I68" s="2" t="s">
        <v>444</v>
      </c>
      <c r="J68" s="2" t="s">
        <v>83</v>
      </c>
      <c r="K68" s="2" t="s">
        <v>169</v>
      </c>
      <c r="L68" s="2" t="s">
        <v>477</v>
      </c>
      <c r="M68" s="2"/>
      <c r="N68" s="2">
        <v>1.8</v>
      </c>
      <c r="O68" s="2" t="s">
        <v>89</v>
      </c>
    </row>
    <row r="69" ht="15.75" customHeight="1">
      <c r="A69" s="2" t="s">
        <v>478</v>
      </c>
      <c r="B69" s="2" t="s">
        <v>43</v>
      </c>
      <c r="C69" s="2" t="s">
        <v>479</v>
      </c>
      <c r="D69" s="2" t="s">
        <v>480</v>
      </c>
      <c r="E69" s="2" t="s">
        <v>48</v>
      </c>
      <c r="F69" s="2" t="s">
        <v>76</v>
      </c>
      <c r="G69" s="2" t="s">
        <v>72</v>
      </c>
      <c r="H69" s="2">
        <v>1.0</v>
      </c>
      <c r="I69" s="2" t="s">
        <v>319</v>
      </c>
      <c r="J69" s="2" t="s">
        <v>319</v>
      </c>
      <c r="K69" s="2" t="s">
        <v>169</v>
      </c>
      <c r="L69" s="2" t="s">
        <v>481</v>
      </c>
      <c r="M69" s="2"/>
      <c r="N69" s="2">
        <v>2.6</v>
      </c>
      <c r="O69" s="2" t="s">
        <v>52</v>
      </c>
    </row>
    <row r="70" ht="15.75" customHeight="1">
      <c r="A70" s="2" t="s">
        <v>482</v>
      </c>
      <c r="B70" s="2" t="s">
        <v>43</v>
      </c>
      <c r="C70" s="2" t="s">
        <v>483</v>
      </c>
      <c r="D70" s="2" t="s">
        <v>484</v>
      </c>
      <c r="E70" s="2" t="s">
        <v>48</v>
      </c>
      <c r="F70" s="2" t="s">
        <v>76</v>
      </c>
      <c r="G70" s="2" t="s">
        <v>72</v>
      </c>
      <c r="H70" s="2">
        <v>1.0</v>
      </c>
      <c r="I70" s="2" t="s">
        <v>319</v>
      </c>
      <c r="J70" s="2" t="s">
        <v>319</v>
      </c>
      <c r="K70" s="2" t="s">
        <v>169</v>
      </c>
      <c r="L70" s="2" t="s">
        <v>485</v>
      </c>
      <c r="M70" s="2"/>
      <c r="N70" s="2">
        <v>2.3</v>
      </c>
      <c r="O70" s="2" t="s">
        <v>52</v>
      </c>
    </row>
    <row r="71" ht="15.75" customHeight="1">
      <c r="A71" s="2" t="s">
        <v>486</v>
      </c>
      <c r="B71" s="2" t="s">
        <v>43</v>
      </c>
      <c r="C71" s="2" t="s">
        <v>487</v>
      </c>
      <c r="D71" s="2" t="s">
        <v>488</v>
      </c>
      <c r="E71" s="2" t="s">
        <v>48</v>
      </c>
      <c r="F71" s="2" t="s">
        <v>76</v>
      </c>
      <c r="G71" s="2" t="s">
        <v>72</v>
      </c>
      <c r="H71" s="2">
        <v>2.0</v>
      </c>
      <c r="I71" s="2" t="s">
        <v>319</v>
      </c>
      <c r="J71" s="2" t="s">
        <v>83</v>
      </c>
      <c r="K71" s="2" t="s">
        <v>169</v>
      </c>
      <c r="L71" s="2" t="s">
        <v>489</v>
      </c>
      <c r="M71" s="2"/>
      <c r="N71" s="2">
        <v>1.6</v>
      </c>
      <c r="O71" s="2" t="s">
        <v>52</v>
      </c>
    </row>
    <row r="72" ht="15.75" customHeight="1">
      <c r="A72" s="2" t="s">
        <v>490</v>
      </c>
      <c r="B72" s="2" t="s">
        <v>43</v>
      </c>
      <c r="C72" s="2" t="s">
        <v>491</v>
      </c>
      <c r="D72" s="2" t="s">
        <v>492</v>
      </c>
      <c r="E72" s="2" t="s">
        <v>30</v>
      </c>
      <c r="F72" s="2" t="s">
        <v>76</v>
      </c>
      <c r="G72" s="2" t="s">
        <v>313</v>
      </c>
      <c r="H72" s="2">
        <v>2.0</v>
      </c>
      <c r="I72" s="2" t="s">
        <v>319</v>
      </c>
      <c r="J72" s="2" t="s">
        <v>83</v>
      </c>
      <c r="K72" s="2" t="s">
        <v>50</v>
      </c>
      <c r="L72" s="2" t="s">
        <v>493</v>
      </c>
      <c r="M72" s="2"/>
      <c r="N72" s="2">
        <v>4.0</v>
      </c>
      <c r="O72" s="2" t="s">
        <v>52</v>
      </c>
    </row>
    <row r="73" ht="15.75" customHeight="1">
      <c r="A73" s="8" t="s">
        <v>494</v>
      </c>
      <c r="B73" s="8" t="s">
        <v>43</v>
      </c>
      <c r="C73" s="8" t="s">
        <v>495</v>
      </c>
      <c r="D73" s="8" t="s">
        <v>496</v>
      </c>
      <c r="E73" s="8" t="s">
        <v>48</v>
      </c>
      <c r="F73" s="8" t="s">
        <v>76</v>
      </c>
      <c r="G73" s="8" t="s">
        <v>112</v>
      </c>
      <c r="H73" s="8">
        <v>2.0</v>
      </c>
      <c r="I73" s="8" t="s">
        <v>83</v>
      </c>
      <c r="J73" s="8" t="s">
        <v>83</v>
      </c>
      <c r="K73" s="8" t="s">
        <v>497</v>
      </c>
      <c r="L73" s="8" t="s">
        <v>498</v>
      </c>
      <c r="M73" s="8" t="s">
        <v>351</v>
      </c>
      <c r="N73" s="8">
        <v>1.0</v>
      </c>
      <c r="O73" s="8" t="s">
        <v>352</v>
      </c>
    </row>
    <row r="74" ht="15.75" customHeight="1">
      <c r="A74" s="8" t="s">
        <v>499</v>
      </c>
      <c r="B74" s="8" t="s">
        <v>43</v>
      </c>
      <c r="C74" s="8" t="s">
        <v>500</v>
      </c>
      <c r="D74" s="8" t="s">
        <v>501</v>
      </c>
      <c r="E74" s="8" t="s">
        <v>44</v>
      </c>
      <c r="F74" s="8" t="s">
        <v>76</v>
      </c>
      <c r="G74" s="8" t="s">
        <v>184</v>
      </c>
      <c r="H74" s="8">
        <v>2.0</v>
      </c>
      <c r="I74" s="8" t="s">
        <v>83</v>
      </c>
      <c r="J74" s="8" t="s">
        <v>83</v>
      </c>
      <c r="K74" s="8" t="s">
        <v>497</v>
      </c>
      <c r="L74" s="8" t="s">
        <v>502</v>
      </c>
      <c r="M74" s="8" t="s">
        <v>351</v>
      </c>
      <c r="N74" s="8">
        <v>1.0</v>
      </c>
      <c r="O74" s="8" t="s">
        <v>352</v>
      </c>
    </row>
    <row r="75" ht="15.75" customHeight="1">
      <c r="A75" s="2" t="s">
        <v>503</v>
      </c>
      <c r="B75" s="2" t="s">
        <v>43</v>
      </c>
      <c r="C75" s="2" t="s">
        <v>504</v>
      </c>
      <c r="D75" s="2" t="s">
        <v>505</v>
      </c>
      <c r="E75" s="2" t="s">
        <v>40</v>
      </c>
      <c r="F75" s="2" t="s">
        <v>76</v>
      </c>
      <c r="G75" s="2" t="s">
        <v>56</v>
      </c>
      <c r="H75" s="2">
        <v>1.0</v>
      </c>
      <c r="I75" s="2" t="s">
        <v>83</v>
      </c>
      <c r="J75" s="2" t="s">
        <v>83</v>
      </c>
      <c r="K75" s="2" t="s">
        <v>57</v>
      </c>
      <c r="L75" s="2" t="s">
        <v>506</v>
      </c>
      <c r="M75" s="2"/>
      <c r="N75" s="2">
        <v>54.0</v>
      </c>
      <c r="O75" s="2" t="s">
        <v>52</v>
      </c>
    </row>
    <row r="76" ht="15.75" customHeight="1">
      <c r="A76" s="8" t="s">
        <v>507</v>
      </c>
      <c r="B76" s="8" t="s">
        <v>43</v>
      </c>
      <c r="C76" s="8" t="s">
        <v>508</v>
      </c>
      <c r="D76" s="8" t="s">
        <v>509</v>
      </c>
      <c r="E76" s="8" t="s">
        <v>48</v>
      </c>
      <c r="F76" s="8" t="s">
        <v>76</v>
      </c>
      <c r="G76" s="8" t="s">
        <v>313</v>
      </c>
      <c r="H76" s="8">
        <v>2.0</v>
      </c>
      <c r="I76" s="8" t="s">
        <v>83</v>
      </c>
      <c r="J76" s="8" t="s">
        <v>510</v>
      </c>
      <c r="K76" s="8" t="s">
        <v>511</v>
      </c>
      <c r="L76" s="8" t="s">
        <v>512</v>
      </c>
      <c r="M76" s="8" t="s">
        <v>351</v>
      </c>
      <c r="N76" s="8">
        <v>1.0</v>
      </c>
      <c r="O76" s="8" t="s">
        <v>352</v>
      </c>
    </row>
    <row r="77" ht="15.75" customHeight="1">
      <c r="A77" s="8" t="s">
        <v>513</v>
      </c>
      <c r="B77" s="8" t="s">
        <v>43</v>
      </c>
      <c r="C77" s="8" t="s">
        <v>514</v>
      </c>
      <c r="D77" s="8" t="s">
        <v>515</v>
      </c>
      <c r="E77" s="8" t="s">
        <v>30</v>
      </c>
      <c r="F77" s="8" t="s">
        <v>76</v>
      </c>
      <c r="G77" s="8" t="s">
        <v>313</v>
      </c>
      <c r="H77" s="8">
        <v>2.0</v>
      </c>
      <c r="I77" s="8" t="s">
        <v>510</v>
      </c>
      <c r="J77" s="8" t="s">
        <v>510</v>
      </c>
      <c r="K77" s="8" t="s">
        <v>516</v>
      </c>
      <c r="L77" s="8" t="s">
        <v>517</v>
      </c>
      <c r="M77" s="8" t="s">
        <v>351</v>
      </c>
      <c r="N77" s="8">
        <v>1.0</v>
      </c>
      <c r="O77" s="8" t="s">
        <v>352</v>
      </c>
    </row>
    <row r="78" ht="15.75" customHeight="1">
      <c r="A78" s="8" t="s">
        <v>518</v>
      </c>
      <c r="B78" s="8" t="s">
        <v>43</v>
      </c>
      <c r="C78" s="8" t="s">
        <v>519</v>
      </c>
      <c r="D78" s="8" t="s">
        <v>520</v>
      </c>
      <c r="E78" s="8" t="s">
        <v>40</v>
      </c>
      <c r="F78" s="8" t="s">
        <v>76</v>
      </c>
      <c r="G78" s="8" t="s">
        <v>313</v>
      </c>
      <c r="H78" s="8">
        <v>2.0</v>
      </c>
      <c r="I78" s="8" t="s">
        <v>521</v>
      </c>
      <c r="J78" s="8" t="s">
        <v>522</v>
      </c>
      <c r="K78" s="8" t="s">
        <v>511</v>
      </c>
      <c r="L78" s="8" t="s">
        <v>523</v>
      </c>
      <c r="M78" s="8" t="s">
        <v>351</v>
      </c>
      <c r="N78" s="8">
        <v>1.0</v>
      </c>
      <c r="O78" s="8" t="s">
        <v>352</v>
      </c>
    </row>
    <row r="79" ht="15.75" customHeight="1">
      <c r="A79" s="8" t="s">
        <v>524</v>
      </c>
      <c r="B79" s="8" t="s">
        <v>43</v>
      </c>
      <c r="C79" s="8" t="s">
        <v>525</v>
      </c>
      <c r="D79" s="8" t="s">
        <v>526</v>
      </c>
      <c r="E79" s="8" t="s">
        <v>35</v>
      </c>
      <c r="F79" s="8" t="s">
        <v>76</v>
      </c>
      <c r="G79" s="8" t="s">
        <v>313</v>
      </c>
      <c r="H79" s="8">
        <v>1.0</v>
      </c>
      <c r="I79" s="8" t="s">
        <v>521</v>
      </c>
      <c r="J79" s="8" t="s">
        <v>527</v>
      </c>
      <c r="K79" s="8" t="s">
        <v>528</v>
      </c>
      <c r="L79" s="8" t="s">
        <v>529</v>
      </c>
      <c r="M79" s="8" t="s">
        <v>351</v>
      </c>
      <c r="N79" s="8">
        <v>0.0</v>
      </c>
      <c r="O79" s="8" t="s">
        <v>352</v>
      </c>
    </row>
    <row r="80" ht="15.75" customHeight="1">
      <c r="A80" s="8" t="s">
        <v>530</v>
      </c>
      <c r="B80" s="8" t="s">
        <v>43</v>
      </c>
      <c r="C80" s="8" t="s">
        <v>525</v>
      </c>
      <c r="D80" s="8" t="s">
        <v>526</v>
      </c>
      <c r="E80" s="8" t="s">
        <v>40</v>
      </c>
      <c r="F80" s="8" t="s">
        <v>76</v>
      </c>
      <c r="G80" s="8" t="s">
        <v>313</v>
      </c>
      <c r="H80" s="8">
        <v>1.0</v>
      </c>
      <c r="I80" s="8" t="s">
        <v>521</v>
      </c>
      <c r="J80" s="8" t="s">
        <v>527</v>
      </c>
      <c r="K80" s="8" t="s">
        <v>528</v>
      </c>
      <c r="L80" s="8" t="s">
        <v>531</v>
      </c>
      <c r="M80" s="8" t="s">
        <v>351</v>
      </c>
      <c r="N80" s="8">
        <v>0.0</v>
      </c>
      <c r="O80" s="8" t="s">
        <v>352</v>
      </c>
    </row>
    <row r="81" ht="15.75" customHeight="1">
      <c r="A81" s="8" t="s">
        <v>532</v>
      </c>
      <c r="B81" s="8" t="s">
        <v>43</v>
      </c>
      <c r="C81" s="8" t="s">
        <v>533</v>
      </c>
      <c r="D81" s="8" t="s">
        <v>526</v>
      </c>
      <c r="E81" s="8" t="s">
        <v>44</v>
      </c>
      <c r="F81" s="8" t="s">
        <v>76</v>
      </c>
      <c r="G81" s="8" t="s">
        <v>313</v>
      </c>
      <c r="H81" s="8">
        <v>1.0</v>
      </c>
      <c r="I81" s="8" t="s">
        <v>521</v>
      </c>
      <c r="J81" s="8" t="s">
        <v>527</v>
      </c>
      <c r="K81" s="8" t="s">
        <v>528</v>
      </c>
      <c r="L81" s="8" t="s">
        <v>534</v>
      </c>
      <c r="M81" s="8" t="s">
        <v>351</v>
      </c>
      <c r="N81" s="8">
        <v>0.0</v>
      </c>
      <c r="O81" s="8" t="s">
        <v>352</v>
      </c>
    </row>
    <row r="82" ht="15.75" customHeight="1">
      <c r="A82" s="8" t="s">
        <v>535</v>
      </c>
      <c r="B82" s="8" t="s">
        <v>43</v>
      </c>
      <c r="C82" s="8" t="s">
        <v>533</v>
      </c>
      <c r="D82" s="8" t="s">
        <v>526</v>
      </c>
      <c r="E82" s="8" t="s">
        <v>48</v>
      </c>
      <c r="F82" s="8" t="s">
        <v>76</v>
      </c>
      <c r="G82" s="8" t="s">
        <v>313</v>
      </c>
      <c r="H82" s="8">
        <v>1.0</v>
      </c>
      <c r="I82" s="8" t="s">
        <v>521</v>
      </c>
      <c r="J82" s="8" t="s">
        <v>527</v>
      </c>
      <c r="K82" s="8" t="s">
        <v>528</v>
      </c>
      <c r="L82" s="8" t="s">
        <v>536</v>
      </c>
      <c r="M82" s="8" t="s">
        <v>351</v>
      </c>
      <c r="N82" s="8">
        <v>0.0</v>
      </c>
      <c r="O82" s="8" t="s">
        <v>352</v>
      </c>
    </row>
    <row r="83" ht="15.75" customHeight="1">
      <c r="A83" s="8" t="s">
        <v>537</v>
      </c>
      <c r="B83" s="8" t="s">
        <v>43</v>
      </c>
      <c r="C83" s="8" t="s">
        <v>538</v>
      </c>
      <c r="D83" s="8" t="s">
        <v>526</v>
      </c>
      <c r="E83" s="8" t="s">
        <v>30</v>
      </c>
      <c r="F83" s="8" t="s">
        <v>76</v>
      </c>
      <c r="G83" s="8" t="s">
        <v>313</v>
      </c>
      <c r="H83" s="8">
        <v>1.0</v>
      </c>
      <c r="I83" s="8" t="s">
        <v>521</v>
      </c>
      <c r="J83" s="8" t="s">
        <v>527</v>
      </c>
      <c r="K83" s="8" t="s">
        <v>528</v>
      </c>
      <c r="L83" s="8" t="s">
        <v>539</v>
      </c>
      <c r="M83" s="8" t="s">
        <v>351</v>
      </c>
      <c r="N83" s="8">
        <v>0.0</v>
      </c>
      <c r="O83" s="8" t="s">
        <v>352</v>
      </c>
    </row>
    <row r="84" ht="15.75" customHeight="1">
      <c r="A84" s="2" t="s">
        <v>540</v>
      </c>
      <c r="B84" s="2" t="s">
        <v>43</v>
      </c>
      <c r="C84" s="2" t="s">
        <v>541</v>
      </c>
      <c r="D84" s="2" t="s">
        <v>542</v>
      </c>
      <c r="E84" s="2" t="s">
        <v>48</v>
      </c>
      <c r="F84" s="2" t="s">
        <v>76</v>
      </c>
      <c r="G84" s="2" t="s">
        <v>24</v>
      </c>
      <c r="H84" s="2">
        <v>3.0</v>
      </c>
      <c r="I84" s="2" t="s">
        <v>521</v>
      </c>
      <c r="J84" s="2" t="s">
        <v>80</v>
      </c>
      <c r="K84" s="2" t="s">
        <v>87</v>
      </c>
      <c r="L84" s="2" t="s">
        <v>543</v>
      </c>
      <c r="M84" s="2"/>
      <c r="N84" s="2">
        <v>8.5</v>
      </c>
      <c r="O84" s="2" t="s">
        <v>52</v>
      </c>
    </row>
    <row r="85" ht="15.75" customHeight="1">
      <c r="A85" s="2" t="s">
        <v>544</v>
      </c>
      <c r="B85" s="2" t="s">
        <v>43</v>
      </c>
      <c r="C85" s="2" t="s">
        <v>545</v>
      </c>
      <c r="D85" s="2" t="s">
        <v>55</v>
      </c>
      <c r="E85" s="2" t="s">
        <v>30</v>
      </c>
      <c r="F85" s="2" t="s">
        <v>76</v>
      </c>
      <c r="G85" s="2" t="s">
        <v>56</v>
      </c>
      <c r="H85" s="2">
        <v>2.0</v>
      </c>
      <c r="I85" s="2" t="s">
        <v>522</v>
      </c>
      <c r="J85" s="2" t="s">
        <v>527</v>
      </c>
      <c r="K85" s="2" t="s">
        <v>57</v>
      </c>
      <c r="L85" s="2" t="s">
        <v>546</v>
      </c>
      <c r="M85" s="2"/>
      <c r="N85" s="2">
        <v>50.0</v>
      </c>
      <c r="O85" s="2" t="s">
        <v>52</v>
      </c>
    </row>
    <row r="86" ht="15.75" customHeight="1">
      <c r="A86" s="8" t="s">
        <v>547</v>
      </c>
      <c r="B86" s="8" t="s">
        <v>43</v>
      </c>
      <c r="C86" s="8" t="s">
        <v>548</v>
      </c>
      <c r="D86" s="8" t="s">
        <v>549</v>
      </c>
      <c r="E86" s="8" t="s">
        <v>30</v>
      </c>
      <c r="F86" s="8" t="s">
        <v>76</v>
      </c>
      <c r="G86" s="8" t="s">
        <v>313</v>
      </c>
      <c r="H86" s="8">
        <v>1.0</v>
      </c>
      <c r="I86" s="8" t="s">
        <v>80</v>
      </c>
      <c r="J86" s="8" t="s">
        <v>80</v>
      </c>
      <c r="K86" s="8" t="s">
        <v>516</v>
      </c>
      <c r="L86" s="8" t="s">
        <v>550</v>
      </c>
      <c r="M86" s="8" t="s">
        <v>351</v>
      </c>
      <c r="N86" s="8">
        <v>0.0</v>
      </c>
      <c r="O86" s="8" t="s">
        <v>352</v>
      </c>
    </row>
    <row r="87" ht="15.75" customHeight="1">
      <c r="A87" s="2" t="s">
        <v>551</v>
      </c>
      <c r="B87" s="2" t="s">
        <v>43</v>
      </c>
      <c r="C87" s="2" t="s">
        <v>552</v>
      </c>
      <c r="D87" s="2" t="s">
        <v>553</v>
      </c>
      <c r="E87" s="2" t="s">
        <v>40</v>
      </c>
      <c r="F87" s="2" t="s">
        <v>100</v>
      </c>
      <c r="G87" s="2" t="s">
        <v>96</v>
      </c>
      <c r="H87" s="2">
        <v>2.0</v>
      </c>
      <c r="I87" s="2" t="s">
        <v>101</v>
      </c>
      <c r="J87" s="2" t="s">
        <v>101</v>
      </c>
      <c r="K87" s="2" t="s">
        <v>554</v>
      </c>
      <c r="L87" s="2" t="s">
        <v>556</v>
      </c>
      <c r="M87" s="2"/>
      <c r="N87" s="2">
        <v>7.5</v>
      </c>
      <c r="O87" s="2" t="s">
        <v>52</v>
      </c>
    </row>
    <row r="88" ht="15.75" customHeight="1">
      <c r="A88" s="2" t="s">
        <v>557</v>
      </c>
      <c r="B88" s="2" t="s">
        <v>43</v>
      </c>
      <c r="C88" s="2" t="s">
        <v>558</v>
      </c>
      <c r="D88" s="2" t="s">
        <v>559</v>
      </c>
      <c r="E88" s="2" t="s">
        <v>48</v>
      </c>
      <c r="F88" s="2" t="s">
        <v>100</v>
      </c>
      <c r="G88" s="2" t="s">
        <v>96</v>
      </c>
      <c r="H88" s="2">
        <v>2.0</v>
      </c>
      <c r="I88" s="2" t="s">
        <v>101</v>
      </c>
      <c r="J88" s="2" t="s">
        <v>101</v>
      </c>
      <c r="K88" s="2" t="s">
        <v>560</v>
      </c>
      <c r="L88" s="2" t="s">
        <v>561</v>
      </c>
      <c r="M88" s="2"/>
      <c r="N88" s="2">
        <v>9.3</v>
      </c>
      <c r="O88" s="2" t="s">
        <v>52</v>
      </c>
    </row>
    <row r="89" ht="15.75" customHeight="1">
      <c r="A89" s="2" t="s">
        <v>562</v>
      </c>
      <c r="B89" s="2" t="s">
        <v>43</v>
      </c>
      <c r="C89" s="2" t="s">
        <v>563</v>
      </c>
      <c r="D89" s="2" t="s">
        <v>564</v>
      </c>
      <c r="E89" s="2" t="s">
        <v>40</v>
      </c>
      <c r="F89" s="2" t="s">
        <v>100</v>
      </c>
      <c r="G89" s="2" t="s">
        <v>96</v>
      </c>
      <c r="H89" s="2">
        <v>1.0</v>
      </c>
      <c r="I89" s="2" t="s">
        <v>101</v>
      </c>
      <c r="J89" s="2" t="s">
        <v>101</v>
      </c>
      <c r="K89" s="2" t="s">
        <v>554</v>
      </c>
      <c r="L89" s="2" t="s">
        <v>565</v>
      </c>
      <c r="M89" s="2"/>
      <c r="N89" s="2">
        <v>7.3</v>
      </c>
      <c r="O89" s="2" t="s">
        <v>52</v>
      </c>
    </row>
    <row r="90" ht="15.75" customHeight="1">
      <c r="A90" s="2" t="s">
        <v>566</v>
      </c>
      <c r="B90" s="2" t="s">
        <v>43</v>
      </c>
      <c r="C90" s="2" t="s">
        <v>567</v>
      </c>
      <c r="D90" s="2" t="s">
        <v>568</v>
      </c>
      <c r="E90" s="2" t="s">
        <v>30</v>
      </c>
      <c r="F90" s="2" t="s">
        <v>100</v>
      </c>
      <c r="G90" s="2" t="s">
        <v>182</v>
      </c>
      <c r="H90" s="2">
        <v>3.0</v>
      </c>
      <c r="I90" s="2" t="s">
        <v>101</v>
      </c>
      <c r="J90" s="2" t="s">
        <v>101</v>
      </c>
      <c r="K90" s="2" t="s">
        <v>150</v>
      </c>
      <c r="L90" s="2" t="s">
        <v>569</v>
      </c>
      <c r="M90" s="2"/>
      <c r="N90" s="2">
        <v>6.3</v>
      </c>
      <c r="O90" s="2" t="s">
        <v>52</v>
      </c>
    </row>
    <row r="91" ht="15.75" customHeight="1">
      <c r="A91" s="2" t="s">
        <v>570</v>
      </c>
      <c r="B91" s="2" t="s">
        <v>43</v>
      </c>
      <c r="C91" s="2" t="s">
        <v>571</v>
      </c>
      <c r="D91" s="2" t="s">
        <v>572</v>
      </c>
      <c r="E91" s="2" t="s">
        <v>48</v>
      </c>
      <c r="F91" s="2" t="s">
        <v>100</v>
      </c>
      <c r="G91" s="2" t="s">
        <v>96</v>
      </c>
      <c r="H91" s="2">
        <v>1.0</v>
      </c>
      <c r="I91" s="2" t="s">
        <v>101</v>
      </c>
      <c r="J91" s="2" t="s">
        <v>103</v>
      </c>
      <c r="K91" s="2" t="s">
        <v>560</v>
      </c>
      <c r="L91" s="2" t="s">
        <v>573</v>
      </c>
      <c r="M91" s="2"/>
      <c r="N91" s="2">
        <v>8.9</v>
      </c>
      <c r="O91" s="2" t="s">
        <v>52</v>
      </c>
    </row>
    <row r="92" ht="15.75" customHeight="1">
      <c r="A92" s="2" t="s">
        <v>574</v>
      </c>
      <c r="B92" s="2" t="s">
        <v>43</v>
      </c>
      <c r="C92" s="2" t="s">
        <v>575</v>
      </c>
      <c r="D92" s="2" t="s">
        <v>576</v>
      </c>
      <c r="E92" s="2" t="s">
        <v>35</v>
      </c>
      <c r="F92" s="2" t="s">
        <v>100</v>
      </c>
      <c r="G92" s="2" t="s">
        <v>129</v>
      </c>
      <c r="H92" s="2">
        <v>5.0</v>
      </c>
      <c r="I92" s="2" t="s">
        <v>101</v>
      </c>
      <c r="J92" s="2" t="s">
        <v>103</v>
      </c>
      <c r="K92" s="2" t="s">
        <v>554</v>
      </c>
      <c r="L92" s="2" t="s">
        <v>577</v>
      </c>
      <c r="M92" s="2"/>
      <c r="N92" s="2">
        <v>3.9</v>
      </c>
      <c r="O92" s="2" t="s">
        <v>89</v>
      </c>
    </row>
    <row r="93" ht="15.75" customHeight="1">
      <c r="A93" s="2" t="s">
        <v>578</v>
      </c>
      <c r="B93" s="2" t="s">
        <v>43</v>
      </c>
      <c r="C93" s="2" t="s">
        <v>579</v>
      </c>
      <c r="D93" s="2" t="s">
        <v>580</v>
      </c>
      <c r="E93" s="2" t="s">
        <v>44</v>
      </c>
      <c r="F93" s="2" t="s">
        <v>100</v>
      </c>
      <c r="G93" s="2" t="s">
        <v>129</v>
      </c>
      <c r="H93" s="2">
        <v>5.0</v>
      </c>
      <c r="I93" s="2" t="s">
        <v>101</v>
      </c>
      <c r="J93" s="2" t="s">
        <v>103</v>
      </c>
      <c r="K93" s="2" t="s">
        <v>560</v>
      </c>
      <c r="L93" s="2" t="s">
        <v>581</v>
      </c>
      <c r="M93" s="2"/>
      <c r="N93" s="2">
        <v>8.5</v>
      </c>
      <c r="O93" s="2" t="s">
        <v>89</v>
      </c>
    </row>
    <row r="94" ht="15.75" customHeight="1">
      <c r="A94" s="2" t="s">
        <v>582</v>
      </c>
      <c r="B94" s="2" t="s">
        <v>43</v>
      </c>
      <c r="C94" s="2" t="s">
        <v>583</v>
      </c>
      <c r="D94" s="2" t="s">
        <v>584</v>
      </c>
      <c r="E94" s="2" t="s">
        <v>40</v>
      </c>
      <c r="F94" s="2" t="s">
        <v>100</v>
      </c>
      <c r="G94" s="2" t="s">
        <v>173</v>
      </c>
      <c r="H94" s="2">
        <v>3.0</v>
      </c>
      <c r="I94" s="2" t="s">
        <v>101</v>
      </c>
      <c r="J94" s="2" t="s">
        <v>103</v>
      </c>
      <c r="K94" s="2" t="s">
        <v>554</v>
      </c>
      <c r="L94" s="2" t="s">
        <v>585</v>
      </c>
      <c r="M94" s="2"/>
      <c r="N94" s="2">
        <v>6.0</v>
      </c>
      <c r="O94" s="2" t="s">
        <v>52</v>
      </c>
    </row>
    <row r="95" ht="15.75" customHeight="1">
      <c r="A95" s="2" t="s">
        <v>586</v>
      </c>
      <c r="B95" s="2" t="s">
        <v>43</v>
      </c>
      <c r="C95" s="2" t="s">
        <v>587</v>
      </c>
      <c r="D95" s="2" t="s">
        <v>588</v>
      </c>
      <c r="E95" s="2" t="s">
        <v>40</v>
      </c>
      <c r="F95" s="2" t="s">
        <v>100</v>
      </c>
      <c r="G95" s="2" t="s">
        <v>173</v>
      </c>
      <c r="H95" s="2">
        <v>2.0</v>
      </c>
      <c r="I95" s="2" t="s">
        <v>103</v>
      </c>
      <c r="J95" s="2" t="s">
        <v>103</v>
      </c>
      <c r="K95" s="2" t="s">
        <v>554</v>
      </c>
      <c r="L95" s="2" t="s">
        <v>589</v>
      </c>
      <c r="M95" s="2"/>
      <c r="N95" s="2">
        <v>6.1</v>
      </c>
      <c r="O95" s="2" t="s">
        <v>52</v>
      </c>
    </row>
    <row r="96" ht="15.75" customHeight="1">
      <c r="A96" s="2" t="s">
        <v>590</v>
      </c>
      <c r="B96" s="2" t="s">
        <v>43</v>
      </c>
      <c r="C96" s="2" t="s">
        <v>591</v>
      </c>
      <c r="D96" s="2" t="s">
        <v>592</v>
      </c>
      <c r="E96" s="2" t="s">
        <v>30</v>
      </c>
      <c r="F96" s="2" t="s">
        <v>100</v>
      </c>
      <c r="G96" s="2" t="s">
        <v>182</v>
      </c>
      <c r="H96" s="2">
        <v>3.0</v>
      </c>
      <c r="I96" s="2" t="s">
        <v>103</v>
      </c>
      <c r="J96" s="2" t="s">
        <v>103</v>
      </c>
      <c r="K96" s="2" t="s">
        <v>150</v>
      </c>
      <c r="L96" s="2" t="s">
        <v>593</v>
      </c>
      <c r="M96" s="2"/>
      <c r="N96" s="2">
        <v>6.3</v>
      </c>
      <c r="O96" s="2" t="s">
        <v>52</v>
      </c>
    </row>
    <row r="97" ht="15.75" customHeight="1">
      <c r="A97" s="2" t="s">
        <v>594</v>
      </c>
      <c r="B97" s="2" t="s">
        <v>43</v>
      </c>
      <c r="C97" s="2" t="s">
        <v>595</v>
      </c>
      <c r="D97" s="2" t="s">
        <v>596</v>
      </c>
      <c r="E97" s="2" t="s">
        <v>35</v>
      </c>
      <c r="F97" s="2" t="s">
        <v>100</v>
      </c>
      <c r="G97" s="2" t="s">
        <v>129</v>
      </c>
      <c r="H97" s="2">
        <v>2.0</v>
      </c>
      <c r="I97" s="2" t="s">
        <v>103</v>
      </c>
      <c r="J97" s="2" t="s">
        <v>597</v>
      </c>
      <c r="K97" s="2" t="s">
        <v>554</v>
      </c>
      <c r="L97" s="2" t="s">
        <v>598</v>
      </c>
      <c r="M97" s="2"/>
      <c r="N97" s="2">
        <v>6.0</v>
      </c>
      <c r="O97" s="2" t="s">
        <v>52</v>
      </c>
    </row>
    <row r="98" ht="15.75" customHeight="1">
      <c r="A98" s="2" t="s">
        <v>599</v>
      </c>
      <c r="B98" s="2" t="s">
        <v>43</v>
      </c>
      <c r="C98" s="2" t="s">
        <v>600</v>
      </c>
      <c r="D98" s="2" t="s">
        <v>601</v>
      </c>
      <c r="E98" s="2" t="s">
        <v>44</v>
      </c>
      <c r="F98" s="2" t="s">
        <v>100</v>
      </c>
      <c r="G98" s="2" t="s">
        <v>129</v>
      </c>
      <c r="H98" s="2">
        <v>2.0</v>
      </c>
      <c r="I98" s="2" t="s">
        <v>103</v>
      </c>
      <c r="J98" s="2" t="s">
        <v>597</v>
      </c>
      <c r="K98" s="2" t="s">
        <v>560</v>
      </c>
      <c r="L98" s="2" t="s">
        <v>602</v>
      </c>
      <c r="M98" s="2"/>
      <c r="N98" s="2">
        <v>8.0</v>
      </c>
      <c r="O98" s="2" t="s">
        <v>52</v>
      </c>
    </row>
    <row r="99" ht="15.75" customHeight="1">
      <c r="A99" s="2" t="s">
        <v>603</v>
      </c>
      <c r="B99" s="2" t="s">
        <v>43</v>
      </c>
      <c r="C99" s="2" t="s">
        <v>604</v>
      </c>
      <c r="D99" s="2" t="s">
        <v>605</v>
      </c>
      <c r="E99" s="2" t="s">
        <v>40</v>
      </c>
      <c r="F99" s="2" t="s">
        <v>100</v>
      </c>
      <c r="G99" s="2" t="s">
        <v>173</v>
      </c>
      <c r="H99" s="2">
        <v>2.0</v>
      </c>
      <c r="I99" s="2" t="s">
        <v>103</v>
      </c>
      <c r="J99" s="2" t="s">
        <v>597</v>
      </c>
      <c r="K99" s="2" t="s">
        <v>554</v>
      </c>
      <c r="L99" s="2" t="s">
        <v>606</v>
      </c>
      <c r="M99" s="2"/>
      <c r="N99" s="2">
        <v>5.6</v>
      </c>
      <c r="O99" s="2" t="s">
        <v>52</v>
      </c>
    </row>
    <row r="100" ht="15.75" customHeight="1">
      <c r="A100" s="2" t="s">
        <v>607</v>
      </c>
      <c r="B100" s="2" t="s">
        <v>43</v>
      </c>
      <c r="C100" s="2" t="s">
        <v>608</v>
      </c>
      <c r="D100" s="2" t="s">
        <v>609</v>
      </c>
      <c r="E100" s="2" t="s">
        <v>48</v>
      </c>
      <c r="F100" s="2" t="s">
        <v>100</v>
      </c>
      <c r="G100" s="2" t="s">
        <v>173</v>
      </c>
      <c r="H100" s="2">
        <v>3.0</v>
      </c>
      <c r="I100" s="2" t="s">
        <v>103</v>
      </c>
      <c r="J100" s="2" t="s">
        <v>597</v>
      </c>
      <c r="K100" s="2" t="s">
        <v>560</v>
      </c>
      <c r="L100" s="2" t="s">
        <v>610</v>
      </c>
      <c r="M100" s="2"/>
      <c r="N100" s="2">
        <v>7.8</v>
      </c>
      <c r="O100" s="2" t="s">
        <v>52</v>
      </c>
    </row>
    <row r="101" ht="15.75" customHeight="1">
      <c r="A101" s="2" t="s">
        <v>611</v>
      </c>
      <c r="B101" s="2" t="s">
        <v>43</v>
      </c>
      <c r="C101" s="2" t="s">
        <v>612</v>
      </c>
      <c r="D101" s="2" t="s">
        <v>55</v>
      </c>
      <c r="E101" s="2" t="s">
        <v>30</v>
      </c>
      <c r="F101" s="2" t="s">
        <v>100</v>
      </c>
      <c r="G101" s="2" t="s">
        <v>56</v>
      </c>
      <c r="H101" s="2">
        <v>2.0</v>
      </c>
      <c r="I101" s="2" t="s">
        <v>103</v>
      </c>
      <c r="J101" s="2" t="s">
        <v>597</v>
      </c>
      <c r="K101" s="2" t="s">
        <v>57</v>
      </c>
      <c r="L101" s="2" t="s">
        <v>613</v>
      </c>
      <c r="M101" s="2"/>
      <c r="N101" s="2">
        <v>46.0</v>
      </c>
      <c r="O101" s="2" t="s">
        <v>52</v>
      </c>
    </row>
    <row r="102" ht="15.75" customHeight="1">
      <c r="A102" s="2" t="s">
        <v>614</v>
      </c>
      <c r="B102" s="2" t="s">
        <v>43</v>
      </c>
      <c r="C102" s="2" t="s">
        <v>615</v>
      </c>
      <c r="D102" s="2" t="s">
        <v>616</v>
      </c>
      <c r="E102" s="2" t="s">
        <v>35</v>
      </c>
      <c r="F102" s="2" t="s">
        <v>100</v>
      </c>
      <c r="G102" s="2" t="s">
        <v>129</v>
      </c>
      <c r="H102" s="2">
        <v>3.0</v>
      </c>
      <c r="I102" s="2" t="s">
        <v>597</v>
      </c>
      <c r="J102" s="2" t="s">
        <v>597</v>
      </c>
      <c r="K102" s="2" t="s">
        <v>554</v>
      </c>
      <c r="L102" s="2" t="s">
        <v>617</v>
      </c>
      <c r="M102" s="2"/>
      <c r="N102" s="2">
        <v>5.1</v>
      </c>
      <c r="O102" s="2" t="s">
        <v>52</v>
      </c>
    </row>
    <row r="103" ht="15.75" customHeight="1">
      <c r="A103" s="2" t="s">
        <v>618</v>
      </c>
      <c r="B103" s="2" t="s">
        <v>43</v>
      </c>
      <c r="C103" s="2" t="s">
        <v>619</v>
      </c>
      <c r="D103" s="2" t="s">
        <v>620</v>
      </c>
      <c r="E103" s="2" t="s">
        <v>44</v>
      </c>
      <c r="F103" s="2" t="s">
        <v>100</v>
      </c>
      <c r="G103" s="2" t="s">
        <v>129</v>
      </c>
      <c r="H103" s="2">
        <v>3.0</v>
      </c>
      <c r="I103" s="2" t="s">
        <v>597</v>
      </c>
      <c r="J103" s="2" t="s">
        <v>597</v>
      </c>
      <c r="K103" s="2" t="s">
        <v>560</v>
      </c>
      <c r="L103" s="2" t="s">
        <v>621</v>
      </c>
      <c r="M103" s="2"/>
      <c r="N103" s="2">
        <v>7.1</v>
      </c>
      <c r="O103" s="2" t="s">
        <v>52</v>
      </c>
    </row>
    <row r="104" ht="15.75" customHeight="1">
      <c r="A104" s="2" t="s">
        <v>622</v>
      </c>
      <c r="B104" s="2" t="s">
        <v>43</v>
      </c>
      <c r="C104" s="2" t="s">
        <v>623</v>
      </c>
      <c r="D104" s="2" t="s">
        <v>624</v>
      </c>
      <c r="E104" s="2" t="s">
        <v>48</v>
      </c>
      <c r="F104" s="2" t="s">
        <v>100</v>
      </c>
      <c r="G104" s="2" t="s">
        <v>173</v>
      </c>
      <c r="H104" s="2">
        <v>2.0</v>
      </c>
      <c r="I104" s="2" t="s">
        <v>597</v>
      </c>
      <c r="J104" s="2" t="s">
        <v>597</v>
      </c>
      <c r="K104" s="2" t="s">
        <v>560</v>
      </c>
      <c r="L104" s="2" t="s">
        <v>625</v>
      </c>
      <c r="M104" s="2"/>
      <c r="N104" s="2">
        <v>7.1</v>
      </c>
      <c r="O104" s="2" t="s">
        <v>52</v>
      </c>
    </row>
    <row r="105" ht="15.75" customHeight="1">
      <c r="A105" s="2" t="s">
        <v>626</v>
      </c>
      <c r="B105" s="2" t="s">
        <v>43</v>
      </c>
      <c r="C105" s="2" t="s">
        <v>627</v>
      </c>
      <c r="D105" s="2" t="s">
        <v>628</v>
      </c>
      <c r="E105" s="2" t="s">
        <v>40</v>
      </c>
      <c r="F105" s="2" t="s">
        <v>100</v>
      </c>
      <c r="G105" s="2" t="s">
        <v>173</v>
      </c>
      <c r="H105" s="2">
        <v>2.0</v>
      </c>
      <c r="I105" s="2" t="s">
        <v>597</v>
      </c>
      <c r="J105" s="2" t="s">
        <v>597</v>
      </c>
      <c r="K105" s="2" t="s">
        <v>554</v>
      </c>
      <c r="L105" s="2" t="s">
        <v>629</v>
      </c>
      <c r="M105" s="2"/>
      <c r="N105" s="2">
        <v>5.1</v>
      </c>
      <c r="O105" s="2" t="s">
        <v>52</v>
      </c>
    </row>
    <row r="106" ht="15.75" customHeight="1">
      <c r="A106" s="2" t="s">
        <v>630</v>
      </c>
      <c r="B106" s="2" t="s">
        <v>43</v>
      </c>
      <c r="C106" s="2" t="s">
        <v>631</v>
      </c>
      <c r="D106" s="2" t="s">
        <v>632</v>
      </c>
      <c r="E106" s="2" t="s">
        <v>35</v>
      </c>
      <c r="F106" s="2" t="s">
        <v>100</v>
      </c>
      <c r="G106" s="2" t="s">
        <v>129</v>
      </c>
      <c r="H106" s="2">
        <v>1.0</v>
      </c>
      <c r="I106" s="2" t="s">
        <v>597</v>
      </c>
      <c r="J106" s="2" t="s">
        <v>633</v>
      </c>
      <c r="K106" s="2" t="s">
        <v>554</v>
      </c>
      <c r="L106" s="2" t="s">
        <v>634</v>
      </c>
      <c r="M106" s="2"/>
      <c r="N106" s="2">
        <v>4.8</v>
      </c>
      <c r="O106" s="2" t="s">
        <v>52</v>
      </c>
    </row>
    <row r="107" ht="15.75" customHeight="1">
      <c r="A107" s="2" t="s">
        <v>635</v>
      </c>
      <c r="B107" s="2" t="s">
        <v>43</v>
      </c>
      <c r="C107" s="2" t="s">
        <v>636</v>
      </c>
      <c r="D107" s="2" t="s">
        <v>637</v>
      </c>
      <c r="E107" s="2" t="s">
        <v>44</v>
      </c>
      <c r="F107" s="2" t="s">
        <v>100</v>
      </c>
      <c r="G107" s="2" t="s">
        <v>129</v>
      </c>
      <c r="H107" s="2">
        <v>1.0</v>
      </c>
      <c r="I107" s="2" t="s">
        <v>597</v>
      </c>
      <c r="J107" s="2" t="s">
        <v>633</v>
      </c>
      <c r="K107" s="2" t="s">
        <v>560</v>
      </c>
      <c r="L107" s="2" t="s">
        <v>638</v>
      </c>
      <c r="M107" s="2"/>
      <c r="N107" s="2">
        <v>6.8</v>
      </c>
      <c r="O107" s="2" t="s">
        <v>52</v>
      </c>
    </row>
    <row r="108" ht="15.75" customHeight="1">
      <c r="A108" s="2" t="s">
        <v>639</v>
      </c>
      <c r="B108" s="2" t="s">
        <v>43</v>
      </c>
      <c r="C108" s="2" t="s">
        <v>640</v>
      </c>
      <c r="D108" s="2" t="s">
        <v>641</v>
      </c>
      <c r="E108" s="2" t="s">
        <v>48</v>
      </c>
      <c r="F108" s="2" t="s">
        <v>100</v>
      </c>
      <c r="G108" s="2" t="s">
        <v>173</v>
      </c>
      <c r="H108" s="2">
        <v>2.0</v>
      </c>
      <c r="I108" s="2" t="s">
        <v>597</v>
      </c>
      <c r="J108" s="2" t="s">
        <v>633</v>
      </c>
      <c r="K108" s="2" t="s">
        <v>560</v>
      </c>
      <c r="L108" s="2" t="s">
        <v>642</v>
      </c>
      <c r="M108" s="2"/>
      <c r="N108" s="2">
        <v>6.4</v>
      </c>
      <c r="O108" s="2" t="s">
        <v>52</v>
      </c>
    </row>
    <row r="109" ht="15.75" customHeight="1">
      <c r="A109" s="2" t="s">
        <v>643</v>
      </c>
      <c r="B109" s="2" t="s">
        <v>43</v>
      </c>
      <c r="C109" s="2" t="s">
        <v>644</v>
      </c>
      <c r="D109" s="2" t="s">
        <v>645</v>
      </c>
      <c r="E109" s="2" t="s">
        <v>40</v>
      </c>
      <c r="F109" s="2" t="s">
        <v>100</v>
      </c>
      <c r="G109" s="2" t="s">
        <v>173</v>
      </c>
      <c r="H109" s="2">
        <v>2.0</v>
      </c>
      <c r="I109" s="2" t="s">
        <v>597</v>
      </c>
      <c r="J109" s="2" t="s">
        <v>633</v>
      </c>
      <c r="K109" s="2" t="s">
        <v>554</v>
      </c>
      <c r="L109" s="2" t="s">
        <v>646</v>
      </c>
      <c r="M109" s="2"/>
      <c r="N109" s="2">
        <v>4.6</v>
      </c>
      <c r="O109" s="2" t="s">
        <v>52</v>
      </c>
    </row>
    <row r="110" ht="15.75" customHeight="1">
      <c r="A110" s="2" t="s">
        <v>647</v>
      </c>
      <c r="B110" s="2" t="s">
        <v>43</v>
      </c>
      <c r="C110" s="2" t="s">
        <v>648</v>
      </c>
      <c r="D110" s="2" t="s">
        <v>649</v>
      </c>
      <c r="E110" s="2" t="s">
        <v>30</v>
      </c>
      <c r="F110" s="2" t="s">
        <v>100</v>
      </c>
      <c r="G110" s="2" t="s">
        <v>182</v>
      </c>
      <c r="H110" s="2">
        <v>5.0</v>
      </c>
      <c r="I110" s="2" t="s">
        <v>597</v>
      </c>
      <c r="J110" s="2" t="s">
        <v>633</v>
      </c>
      <c r="K110" s="2" t="s">
        <v>150</v>
      </c>
      <c r="L110" s="2" t="s">
        <v>650</v>
      </c>
      <c r="M110" s="2"/>
      <c r="N110" s="2">
        <v>6.3</v>
      </c>
      <c r="O110" s="2" t="s">
        <v>89</v>
      </c>
    </row>
    <row r="111" ht="15.75" customHeight="1">
      <c r="A111" s="2" t="s">
        <v>651</v>
      </c>
      <c r="B111" s="2" t="s">
        <v>43</v>
      </c>
      <c r="C111" s="2" t="s">
        <v>652</v>
      </c>
      <c r="D111" s="2" t="s">
        <v>653</v>
      </c>
      <c r="E111" s="2" t="s">
        <v>40</v>
      </c>
      <c r="F111" s="2" t="s">
        <v>100</v>
      </c>
      <c r="G111" s="2" t="s">
        <v>173</v>
      </c>
      <c r="H111" s="2">
        <v>1.0</v>
      </c>
      <c r="I111" s="2" t="s">
        <v>633</v>
      </c>
      <c r="J111" s="2" t="s">
        <v>633</v>
      </c>
      <c r="K111" s="2" t="s">
        <v>554</v>
      </c>
      <c r="L111" s="2" t="s">
        <v>654</v>
      </c>
      <c r="M111" s="2"/>
      <c r="N111" s="2">
        <v>4.4</v>
      </c>
      <c r="O111" s="2" t="s">
        <v>52</v>
      </c>
    </row>
    <row r="112" ht="15.75" customHeight="1">
      <c r="A112" s="2" t="s">
        <v>655</v>
      </c>
      <c r="B112" s="2" t="s">
        <v>43</v>
      </c>
      <c r="C112" s="2" t="s">
        <v>656</v>
      </c>
      <c r="D112" s="2" t="s">
        <v>657</v>
      </c>
      <c r="E112" s="2" t="s">
        <v>35</v>
      </c>
      <c r="F112" s="2" t="s">
        <v>100</v>
      </c>
      <c r="G112" s="2" t="s">
        <v>129</v>
      </c>
      <c r="H112" s="2">
        <v>3.0</v>
      </c>
      <c r="I112" s="2" t="s">
        <v>633</v>
      </c>
      <c r="J112" s="2" t="s">
        <v>658</v>
      </c>
      <c r="K112" s="2" t="s">
        <v>554</v>
      </c>
      <c r="L112" s="2" t="s">
        <v>659</v>
      </c>
      <c r="M112" s="2"/>
      <c r="N112" s="2">
        <v>3.3</v>
      </c>
      <c r="O112" s="2" t="s">
        <v>52</v>
      </c>
    </row>
    <row r="113" ht="15.75" customHeight="1">
      <c r="A113" s="2" t="s">
        <v>660</v>
      </c>
      <c r="B113" s="2" t="s">
        <v>43</v>
      </c>
      <c r="C113" s="2" t="s">
        <v>661</v>
      </c>
      <c r="D113" s="2" t="s">
        <v>662</v>
      </c>
      <c r="E113" s="2" t="s">
        <v>44</v>
      </c>
      <c r="F113" s="2" t="s">
        <v>100</v>
      </c>
      <c r="G113" s="2" t="s">
        <v>129</v>
      </c>
      <c r="H113" s="2">
        <v>3.0</v>
      </c>
      <c r="I113" s="2" t="s">
        <v>633</v>
      </c>
      <c r="J113" s="2" t="s">
        <v>658</v>
      </c>
      <c r="K113" s="2" t="s">
        <v>560</v>
      </c>
      <c r="L113" s="2" t="s">
        <v>663</v>
      </c>
      <c r="M113" s="2"/>
      <c r="N113" s="2">
        <v>5.9</v>
      </c>
      <c r="O113" s="2" t="s">
        <v>52</v>
      </c>
    </row>
    <row r="114" ht="15.75" customHeight="1">
      <c r="A114" s="2" t="s">
        <v>664</v>
      </c>
      <c r="B114" s="2" t="s">
        <v>43</v>
      </c>
      <c r="C114" s="2" t="s">
        <v>665</v>
      </c>
      <c r="D114" s="2" t="s">
        <v>666</v>
      </c>
      <c r="E114" s="2" t="s">
        <v>48</v>
      </c>
      <c r="F114" s="2" t="s">
        <v>100</v>
      </c>
      <c r="G114" s="2" t="s">
        <v>173</v>
      </c>
      <c r="H114" s="2">
        <v>2.0</v>
      </c>
      <c r="I114" s="2" t="s">
        <v>633</v>
      </c>
      <c r="J114" s="2" t="s">
        <v>658</v>
      </c>
      <c r="K114" s="2" t="s">
        <v>560</v>
      </c>
      <c r="L114" s="2" t="s">
        <v>667</v>
      </c>
      <c r="M114" s="2"/>
      <c r="N114" s="2">
        <v>5.7</v>
      </c>
      <c r="O114" s="2" t="s">
        <v>52</v>
      </c>
    </row>
    <row r="115" ht="15.75" customHeight="1">
      <c r="A115" s="2" t="s">
        <v>668</v>
      </c>
      <c r="B115" s="2" t="s">
        <v>43</v>
      </c>
      <c r="C115" s="2" t="s">
        <v>669</v>
      </c>
      <c r="D115" s="2" t="s">
        <v>670</v>
      </c>
      <c r="E115" s="2" t="s">
        <v>40</v>
      </c>
      <c r="F115" s="2" t="s">
        <v>100</v>
      </c>
      <c r="G115" s="2" t="s">
        <v>173</v>
      </c>
      <c r="H115" s="2">
        <v>2.0</v>
      </c>
      <c r="I115" s="2" t="s">
        <v>633</v>
      </c>
      <c r="J115" s="2" t="s">
        <v>658</v>
      </c>
      <c r="K115" s="2" t="s">
        <v>554</v>
      </c>
      <c r="L115" s="2" t="s">
        <v>671</v>
      </c>
      <c r="M115" s="2"/>
      <c r="N115" s="2">
        <v>3.9</v>
      </c>
      <c r="O115" s="2" t="s">
        <v>52</v>
      </c>
    </row>
    <row r="116" ht="15.75" customHeight="1">
      <c r="A116" s="2" t="s">
        <v>672</v>
      </c>
      <c r="B116" s="2" t="s">
        <v>43</v>
      </c>
      <c r="C116" s="2" t="s">
        <v>673</v>
      </c>
      <c r="D116" s="2" t="s">
        <v>674</v>
      </c>
      <c r="E116" s="2" t="s">
        <v>30</v>
      </c>
      <c r="F116" s="2" t="s">
        <v>100</v>
      </c>
      <c r="G116" s="2" t="s">
        <v>129</v>
      </c>
      <c r="H116" s="2">
        <v>8.0</v>
      </c>
      <c r="I116" s="2" t="s">
        <v>633</v>
      </c>
      <c r="J116" s="2" t="s">
        <v>675</v>
      </c>
      <c r="K116" s="2" t="s">
        <v>554</v>
      </c>
      <c r="L116" s="2" t="s">
        <v>676</v>
      </c>
      <c r="M116" s="2"/>
      <c r="N116" s="2">
        <v>1.7</v>
      </c>
      <c r="O116" s="2" t="s">
        <v>89</v>
      </c>
    </row>
    <row r="117" ht="15.75" customHeight="1">
      <c r="A117" s="2" t="s">
        <v>677</v>
      </c>
      <c r="B117" s="2" t="s">
        <v>43</v>
      </c>
      <c r="C117" s="2" t="s">
        <v>678</v>
      </c>
      <c r="D117" s="2" t="s">
        <v>679</v>
      </c>
      <c r="E117" s="2" t="s">
        <v>35</v>
      </c>
      <c r="F117" s="2" t="s">
        <v>100</v>
      </c>
      <c r="G117" s="2" t="s">
        <v>129</v>
      </c>
      <c r="H117" s="2">
        <v>2.0</v>
      </c>
      <c r="I117" s="2" t="s">
        <v>658</v>
      </c>
      <c r="J117" s="2" t="s">
        <v>658</v>
      </c>
      <c r="K117" s="2" t="s">
        <v>554</v>
      </c>
      <c r="L117" s="2" t="s">
        <v>680</v>
      </c>
      <c r="M117" s="2"/>
      <c r="N117" s="2">
        <v>3.3</v>
      </c>
      <c r="O117" s="2" t="s">
        <v>52</v>
      </c>
    </row>
    <row r="118" ht="15.75" customHeight="1">
      <c r="A118" s="2" t="s">
        <v>681</v>
      </c>
      <c r="B118" s="2" t="s">
        <v>43</v>
      </c>
      <c r="C118" s="2" t="s">
        <v>682</v>
      </c>
      <c r="D118" s="2" t="s">
        <v>683</v>
      </c>
      <c r="E118" s="2" t="s">
        <v>44</v>
      </c>
      <c r="F118" s="2" t="s">
        <v>100</v>
      </c>
      <c r="G118" s="2" t="s">
        <v>129</v>
      </c>
      <c r="H118" s="2">
        <v>2.0</v>
      </c>
      <c r="I118" s="2" t="s">
        <v>658</v>
      </c>
      <c r="J118" s="2" t="s">
        <v>658</v>
      </c>
      <c r="K118" s="2" t="s">
        <v>560</v>
      </c>
      <c r="L118" s="2" t="s">
        <v>684</v>
      </c>
      <c r="M118" s="2"/>
      <c r="N118" s="2">
        <v>5.4</v>
      </c>
      <c r="O118" s="2" t="s">
        <v>52</v>
      </c>
    </row>
    <row r="119" ht="15.75" customHeight="1">
      <c r="A119" s="2" t="s">
        <v>685</v>
      </c>
      <c r="B119" s="2" t="s">
        <v>43</v>
      </c>
      <c r="C119" s="2" t="s">
        <v>686</v>
      </c>
      <c r="D119" s="2" t="s">
        <v>687</v>
      </c>
      <c r="E119" s="2" t="s">
        <v>40</v>
      </c>
      <c r="F119" s="2" t="s">
        <v>100</v>
      </c>
      <c r="G119" s="2" t="s">
        <v>173</v>
      </c>
      <c r="H119" s="2">
        <v>3.0</v>
      </c>
      <c r="I119" s="2" t="s">
        <v>658</v>
      </c>
      <c r="J119" s="2" t="s">
        <v>658</v>
      </c>
      <c r="K119" s="2" t="s">
        <v>554</v>
      </c>
      <c r="L119" s="2" t="s">
        <v>688</v>
      </c>
      <c r="M119" s="2"/>
      <c r="N119" s="2">
        <v>3.2</v>
      </c>
      <c r="O119" s="2" t="s">
        <v>52</v>
      </c>
    </row>
    <row r="120" ht="15.75" customHeight="1">
      <c r="A120" s="2" t="s">
        <v>689</v>
      </c>
      <c r="B120" s="2" t="s">
        <v>43</v>
      </c>
      <c r="C120" s="2" t="s">
        <v>690</v>
      </c>
      <c r="D120" s="2" t="s">
        <v>691</v>
      </c>
      <c r="E120" s="2" t="s">
        <v>35</v>
      </c>
      <c r="F120" s="2" t="s">
        <v>100</v>
      </c>
      <c r="G120" s="2" t="s">
        <v>129</v>
      </c>
      <c r="H120" s="2">
        <v>2.0</v>
      </c>
      <c r="I120" s="2" t="s">
        <v>658</v>
      </c>
      <c r="J120" s="2" t="s">
        <v>162</v>
      </c>
      <c r="K120" s="2" t="s">
        <v>554</v>
      </c>
      <c r="L120" s="2" t="s">
        <v>692</v>
      </c>
      <c r="M120" s="2"/>
      <c r="N120" s="2">
        <v>2.1</v>
      </c>
      <c r="O120" s="2" t="s">
        <v>52</v>
      </c>
    </row>
    <row r="121" ht="15.75" customHeight="1">
      <c r="A121" s="2" t="s">
        <v>693</v>
      </c>
      <c r="B121" s="2" t="s">
        <v>43</v>
      </c>
      <c r="C121" s="2" t="s">
        <v>694</v>
      </c>
      <c r="D121" s="2" t="s">
        <v>695</v>
      </c>
      <c r="E121" s="2" t="s">
        <v>44</v>
      </c>
      <c r="F121" s="2" t="s">
        <v>100</v>
      </c>
      <c r="G121" s="2" t="s">
        <v>129</v>
      </c>
      <c r="H121" s="2">
        <v>2.0</v>
      </c>
      <c r="I121" s="2" t="s">
        <v>658</v>
      </c>
      <c r="J121" s="2" t="s">
        <v>162</v>
      </c>
      <c r="K121" s="2" t="s">
        <v>560</v>
      </c>
      <c r="L121" s="2" t="s">
        <v>696</v>
      </c>
      <c r="M121" s="2"/>
      <c r="N121" s="2">
        <v>4.8</v>
      </c>
      <c r="O121" s="2" t="s">
        <v>52</v>
      </c>
    </row>
    <row r="122" ht="15.75" customHeight="1">
      <c r="A122" s="2" t="s">
        <v>697</v>
      </c>
      <c r="B122" s="2" t="s">
        <v>43</v>
      </c>
      <c r="C122" s="2" t="s">
        <v>698</v>
      </c>
      <c r="D122" s="2" t="s">
        <v>699</v>
      </c>
      <c r="E122" s="2" t="s">
        <v>48</v>
      </c>
      <c r="F122" s="2" t="s">
        <v>100</v>
      </c>
      <c r="G122" s="2" t="s">
        <v>173</v>
      </c>
      <c r="H122" s="2">
        <v>2.0</v>
      </c>
      <c r="I122" s="2" t="s">
        <v>658</v>
      </c>
      <c r="J122" s="2" t="s">
        <v>162</v>
      </c>
      <c r="K122" s="2" t="s">
        <v>560</v>
      </c>
      <c r="L122" s="2" t="s">
        <v>700</v>
      </c>
      <c r="M122" s="2"/>
      <c r="N122" s="2">
        <v>5.0</v>
      </c>
      <c r="O122" s="2" t="s">
        <v>52</v>
      </c>
    </row>
    <row r="123" ht="15.75" customHeight="1">
      <c r="A123" s="2" t="s">
        <v>701</v>
      </c>
      <c r="B123" s="2" t="s">
        <v>43</v>
      </c>
      <c r="C123" s="2" t="s">
        <v>702</v>
      </c>
      <c r="D123" s="2" t="s">
        <v>703</v>
      </c>
      <c r="E123" s="2" t="s">
        <v>40</v>
      </c>
      <c r="F123" s="2" t="s">
        <v>100</v>
      </c>
      <c r="G123" s="2" t="s">
        <v>173</v>
      </c>
      <c r="H123" s="2">
        <v>2.0</v>
      </c>
      <c r="I123" s="2" t="s">
        <v>658</v>
      </c>
      <c r="J123" s="2" t="s">
        <v>162</v>
      </c>
      <c r="K123" s="2" t="s">
        <v>554</v>
      </c>
      <c r="L123" s="2" t="s">
        <v>704</v>
      </c>
      <c r="M123" s="2"/>
      <c r="N123" s="2">
        <v>2.7</v>
      </c>
      <c r="O123" s="2" t="s">
        <v>52</v>
      </c>
    </row>
    <row r="124" ht="15.75" customHeight="1">
      <c r="A124" s="2" t="s">
        <v>705</v>
      </c>
      <c r="B124" s="2" t="s">
        <v>43</v>
      </c>
      <c r="C124" s="2" t="s">
        <v>706</v>
      </c>
      <c r="D124" s="2" t="s">
        <v>707</v>
      </c>
      <c r="E124" s="2" t="s">
        <v>48</v>
      </c>
      <c r="F124" s="2" t="s">
        <v>100</v>
      </c>
      <c r="G124" s="2" t="s">
        <v>173</v>
      </c>
      <c r="H124" s="2">
        <v>1.0</v>
      </c>
      <c r="I124" s="2" t="s">
        <v>162</v>
      </c>
      <c r="J124" s="2" t="s">
        <v>162</v>
      </c>
      <c r="K124" s="2" t="s">
        <v>560</v>
      </c>
      <c r="L124" s="2" t="s">
        <v>708</v>
      </c>
      <c r="M124" s="2"/>
      <c r="N124" s="2">
        <v>4.6</v>
      </c>
      <c r="O124" s="2" t="s">
        <v>52</v>
      </c>
    </row>
    <row r="125" ht="15.75" customHeight="1">
      <c r="A125" s="8" t="s">
        <v>709</v>
      </c>
      <c r="B125" s="8" t="s">
        <v>43</v>
      </c>
      <c r="C125" s="8" t="s">
        <v>710</v>
      </c>
      <c r="D125" s="8" t="s">
        <v>711</v>
      </c>
      <c r="E125" s="8" t="s">
        <v>40</v>
      </c>
      <c r="F125" s="8" t="s">
        <v>100</v>
      </c>
      <c r="G125" s="8" t="s">
        <v>158</v>
      </c>
      <c r="H125" s="8">
        <v>3.0</v>
      </c>
      <c r="I125" s="8" t="s">
        <v>162</v>
      </c>
      <c r="J125" s="8" t="s">
        <v>675</v>
      </c>
      <c r="K125" s="8" t="s">
        <v>712</v>
      </c>
      <c r="L125" s="8" t="s">
        <v>713</v>
      </c>
      <c r="M125" s="8" t="s">
        <v>351</v>
      </c>
      <c r="N125" s="8">
        <v>1.5</v>
      </c>
      <c r="O125" s="8" t="s">
        <v>352</v>
      </c>
    </row>
    <row r="126" ht="15.75" customHeight="1">
      <c r="A126" s="2" t="s">
        <v>714</v>
      </c>
      <c r="B126" s="2" t="s">
        <v>43</v>
      </c>
      <c r="C126" s="2" t="s">
        <v>715</v>
      </c>
      <c r="D126" s="2" t="s">
        <v>716</v>
      </c>
      <c r="E126" s="2" t="s">
        <v>44</v>
      </c>
      <c r="F126" s="2" t="s">
        <v>100</v>
      </c>
      <c r="G126" s="2" t="s">
        <v>129</v>
      </c>
      <c r="H126" s="2">
        <v>5.0</v>
      </c>
      <c r="I126" s="2" t="s">
        <v>162</v>
      </c>
      <c r="J126" s="2" t="s">
        <v>675</v>
      </c>
      <c r="K126" s="2" t="s">
        <v>560</v>
      </c>
      <c r="L126" s="2" t="s">
        <v>717</v>
      </c>
      <c r="M126" s="2"/>
      <c r="N126" s="2">
        <v>3.3</v>
      </c>
      <c r="O126" s="2" t="s">
        <v>89</v>
      </c>
    </row>
    <row r="127" ht="15.75" customHeight="1">
      <c r="A127" s="2" t="s">
        <v>718</v>
      </c>
      <c r="B127" s="2" t="s">
        <v>43</v>
      </c>
      <c r="C127" s="2" t="s">
        <v>719</v>
      </c>
      <c r="D127" s="2" t="s">
        <v>720</v>
      </c>
      <c r="E127" s="2" t="s">
        <v>35</v>
      </c>
      <c r="F127" s="2" t="s">
        <v>100</v>
      </c>
      <c r="G127" s="2" t="s">
        <v>129</v>
      </c>
      <c r="H127" s="2">
        <v>3.0</v>
      </c>
      <c r="I127" s="2" t="s">
        <v>162</v>
      </c>
      <c r="J127" s="2" t="s">
        <v>675</v>
      </c>
      <c r="K127" s="2" t="s">
        <v>554</v>
      </c>
      <c r="L127" s="2" t="s">
        <v>721</v>
      </c>
      <c r="M127" s="2"/>
      <c r="N127" s="2">
        <v>1.9</v>
      </c>
      <c r="O127" s="2" t="s">
        <v>52</v>
      </c>
    </row>
    <row r="128" ht="15.75" customHeight="1">
      <c r="A128" s="2" t="s">
        <v>722</v>
      </c>
      <c r="B128" s="2" t="s">
        <v>43</v>
      </c>
      <c r="C128" s="2" t="s">
        <v>723</v>
      </c>
      <c r="D128" s="2" t="s">
        <v>724</v>
      </c>
      <c r="E128" s="2" t="s">
        <v>48</v>
      </c>
      <c r="F128" s="2" t="s">
        <v>100</v>
      </c>
      <c r="G128" s="2" t="s">
        <v>173</v>
      </c>
      <c r="H128" s="2">
        <v>2.0</v>
      </c>
      <c r="I128" s="2" t="s">
        <v>162</v>
      </c>
      <c r="J128" s="2" t="s">
        <v>675</v>
      </c>
      <c r="K128" s="2" t="s">
        <v>560</v>
      </c>
      <c r="L128" s="2" t="s">
        <v>725</v>
      </c>
      <c r="M128" s="2"/>
      <c r="N128" s="2">
        <v>3.9</v>
      </c>
      <c r="O128" s="2" t="s">
        <v>52</v>
      </c>
    </row>
    <row r="129" ht="15.75" customHeight="1">
      <c r="A129" s="8" t="s">
        <v>726</v>
      </c>
      <c r="B129" s="8" t="s">
        <v>43</v>
      </c>
      <c r="C129" s="8" t="s">
        <v>727</v>
      </c>
      <c r="D129" s="8" t="s">
        <v>728</v>
      </c>
      <c r="E129" s="8" t="s">
        <v>35</v>
      </c>
      <c r="F129" s="8" t="s">
        <v>100</v>
      </c>
      <c r="G129" s="8" t="s">
        <v>129</v>
      </c>
      <c r="H129" s="8">
        <v>2.0</v>
      </c>
      <c r="I129" s="8" t="s">
        <v>675</v>
      </c>
      <c r="J129" s="8" t="s">
        <v>675</v>
      </c>
      <c r="K129" s="8" t="s">
        <v>712</v>
      </c>
      <c r="L129" s="8" t="s">
        <v>729</v>
      </c>
      <c r="M129" s="8" t="s">
        <v>351</v>
      </c>
      <c r="N129" s="8">
        <v>1.0</v>
      </c>
      <c r="O129" s="8" t="s">
        <v>352</v>
      </c>
    </row>
    <row r="130" ht="15.75" customHeight="1">
      <c r="A130" s="8" t="s">
        <v>730</v>
      </c>
      <c r="B130" s="8" t="s">
        <v>43</v>
      </c>
      <c r="C130" s="8" t="s">
        <v>731</v>
      </c>
      <c r="D130" s="8" t="s">
        <v>732</v>
      </c>
      <c r="E130" s="8" t="s">
        <v>40</v>
      </c>
      <c r="F130" s="8" t="s">
        <v>100</v>
      </c>
      <c r="G130" s="8" t="s">
        <v>158</v>
      </c>
      <c r="H130" s="8">
        <v>2.0</v>
      </c>
      <c r="I130" s="8" t="s">
        <v>675</v>
      </c>
      <c r="J130" s="8" t="s">
        <v>675</v>
      </c>
      <c r="K130" s="8" t="s">
        <v>712</v>
      </c>
      <c r="L130" s="8" t="s">
        <v>733</v>
      </c>
      <c r="M130" s="8" t="s">
        <v>351</v>
      </c>
      <c r="N130" s="8">
        <v>1.5</v>
      </c>
      <c r="O130" s="8" t="s">
        <v>352</v>
      </c>
    </row>
    <row r="131" ht="15.75" customHeight="1">
      <c r="A131" s="8" t="s">
        <v>734</v>
      </c>
      <c r="B131" s="8" t="s">
        <v>43</v>
      </c>
      <c r="C131" s="8" t="s">
        <v>735</v>
      </c>
      <c r="D131" s="8" t="s">
        <v>736</v>
      </c>
      <c r="E131" s="8" t="s">
        <v>40</v>
      </c>
      <c r="F131" s="8" t="s">
        <v>100</v>
      </c>
      <c r="G131" s="8" t="s">
        <v>158</v>
      </c>
      <c r="H131" s="8">
        <v>2.0</v>
      </c>
      <c r="I131" s="8" t="s">
        <v>675</v>
      </c>
      <c r="J131" s="8" t="s">
        <v>675</v>
      </c>
      <c r="K131" s="8" t="s">
        <v>712</v>
      </c>
      <c r="L131" s="8" t="s">
        <v>737</v>
      </c>
      <c r="M131" s="8" t="s">
        <v>351</v>
      </c>
      <c r="N131" s="8">
        <v>1.0</v>
      </c>
      <c r="O131" s="8" t="s">
        <v>352</v>
      </c>
    </row>
    <row r="132" ht="15.75" customHeight="1">
      <c r="A132" s="2" t="s">
        <v>738</v>
      </c>
      <c r="B132" s="2" t="s">
        <v>43</v>
      </c>
      <c r="C132" s="2" t="s">
        <v>739</v>
      </c>
      <c r="D132" s="2" t="s">
        <v>740</v>
      </c>
      <c r="E132" s="2" t="s">
        <v>35</v>
      </c>
      <c r="F132" s="2" t="s">
        <v>100</v>
      </c>
      <c r="G132" s="2" t="s">
        <v>129</v>
      </c>
      <c r="H132" s="2">
        <v>1.0</v>
      </c>
      <c r="I132" s="2" t="s">
        <v>675</v>
      </c>
      <c r="J132" s="2" t="s">
        <v>675</v>
      </c>
      <c r="K132" s="2" t="s">
        <v>554</v>
      </c>
      <c r="L132" s="2" t="s">
        <v>741</v>
      </c>
      <c r="M132" s="2"/>
      <c r="N132" s="2">
        <v>1.6</v>
      </c>
      <c r="O132" s="2" t="s">
        <v>52</v>
      </c>
    </row>
    <row r="133" ht="15.75" customHeight="1">
      <c r="A133" s="2" t="s">
        <v>742</v>
      </c>
      <c r="B133" s="2" t="s">
        <v>43</v>
      </c>
      <c r="C133" s="2" t="s">
        <v>743</v>
      </c>
      <c r="D133" s="2" t="s">
        <v>744</v>
      </c>
      <c r="E133" s="2" t="s">
        <v>48</v>
      </c>
      <c r="F133" s="2" t="s">
        <v>100</v>
      </c>
      <c r="G133" s="2" t="s">
        <v>173</v>
      </c>
      <c r="H133" s="2">
        <v>2.0</v>
      </c>
      <c r="I133" s="2" t="s">
        <v>675</v>
      </c>
      <c r="J133" s="2" t="s">
        <v>675</v>
      </c>
      <c r="K133" s="2" t="s">
        <v>560</v>
      </c>
      <c r="L133" s="2" t="s">
        <v>745</v>
      </c>
      <c r="M133" s="2"/>
      <c r="N133" s="2">
        <v>3.2</v>
      </c>
      <c r="O133" s="2" t="s">
        <v>52</v>
      </c>
    </row>
    <row r="134" ht="15.75" customHeight="1">
      <c r="A134" s="8" t="s">
        <v>746</v>
      </c>
      <c r="B134" s="8" t="s">
        <v>43</v>
      </c>
      <c r="C134" s="8" t="s">
        <v>747</v>
      </c>
      <c r="D134" s="8" t="s">
        <v>748</v>
      </c>
      <c r="E134" s="13" t="s">
        <v>35</v>
      </c>
      <c r="F134" s="8" t="s">
        <v>100</v>
      </c>
      <c r="G134" s="8" t="s">
        <v>129</v>
      </c>
      <c r="H134" s="8">
        <v>2.0</v>
      </c>
      <c r="I134" s="8" t="s">
        <v>675</v>
      </c>
      <c r="J134" s="8" t="s">
        <v>177</v>
      </c>
      <c r="K134" s="8" t="s">
        <v>712</v>
      </c>
      <c r="L134" s="8" t="s">
        <v>749</v>
      </c>
      <c r="M134" s="8" t="s">
        <v>351</v>
      </c>
      <c r="N134" s="8">
        <v>1.0</v>
      </c>
      <c r="O134" s="8" t="s">
        <v>352</v>
      </c>
    </row>
    <row r="135" ht="15.75" customHeight="1">
      <c r="A135" s="2" t="s">
        <v>750</v>
      </c>
      <c r="B135" s="2" t="s">
        <v>43</v>
      </c>
      <c r="C135" s="2" t="s">
        <v>751</v>
      </c>
      <c r="D135" s="2" t="s">
        <v>752</v>
      </c>
      <c r="E135" s="2" t="s">
        <v>44</v>
      </c>
      <c r="F135" s="2" t="s">
        <v>100</v>
      </c>
      <c r="G135" s="2" t="s">
        <v>129</v>
      </c>
      <c r="H135" s="2">
        <v>3.0</v>
      </c>
      <c r="I135" s="2" t="s">
        <v>675</v>
      </c>
      <c r="J135" s="2" t="s">
        <v>177</v>
      </c>
      <c r="K135" s="2" t="s">
        <v>560</v>
      </c>
      <c r="L135" s="2" t="s">
        <v>753</v>
      </c>
      <c r="M135" s="2"/>
      <c r="N135" s="2">
        <v>2.5</v>
      </c>
      <c r="O135" s="2" t="s">
        <v>52</v>
      </c>
    </row>
    <row r="136" ht="15.75" customHeight="1">
      <c r="A136" s="2" t="s">
        <v>754</v>
      </c>
      <c r="B136" s="2" t="s">
        <v>43</v>
      </c>
      <c r="C136" s="2" t="s">
        <v>755</v>
      </c>
      <c r="D136" s="2" t="s">
        <v>756</v>
      </c>
      <c r="E136" s="2" t="s">
        <v>48</v>
      </c>
      <c r="F136" s="2" t="s">
        <v>100</v>
      </c>
      <c r="G136" s="2" t="s">
        <v>173</v>
      </c>
      <c r="H136" s="2">
        <v>1.0</v>
      </c>
      <c r="I136" s="2" t="s">
        <v>675</v>
      </c>
      <c r="J136" s="2" t="s">
        <v>177</v>
      </c>
      <c r="K136" s="2" t="s">
        <v>560</v>
      </c>
      <c r="L136" s="2" t="s">
        <v>757</v>
      </c>
      <c r="M136" s="2"/>
      <c r="N136" s="2">
        <v>2.8</v>
      </c>
      <c r="O136" s="2" t="s">
        <v>52</v>
      </c>
    </row>
    <row r="137" ht="15.75" customHeight="1">
      <c r="A137" s="2" t="s">
        <v>758</v>
      </c>
      <c r="B137" s="2" t="s">
        <v>43</v>
      </c>
      <c r="C137" s="2" t="s">
        <v>759</v>
      </c>
      <c r="D137" s="2" t="s">
        <v>760</v>
      </c>
      <c r="E137" s="2" t="s">
        <v>44</v>
      </c>
      <c r="F137" s="2" t="s">
        <v>100</v>
      </c>
      <c r="G137" s="2" t="s">
        <v>129</v>
      </c>
      <c r="H137" s="2">
        <v>1.0</v>
      </c>
      <c r="I137" s="2" t="s">
        <v>177</v>
      </c>
      <c r="J137" s="2" t="s">
        <v>177</v>
      </c>
      <c r="K137" s="2" t="s">
        <v>560</v>
      </c>
      <c r="L137" s="2" t="s">
        <v>761</v>
      </c>
      <c r="M137" s="2"/>
      <c r="N137" s="2">
        <v>2.2</v>
      </c>
      <c r="O137" s="2" t="s">
        <v>52</v>
      </c>
    </row>
    <row r="138" ht="15.75" customHeight="1">
      <c r="A138" s="2" t="s">
        <v>762</v>
      </c>
      <c r="B138" s="2" t="s">
        <v>43</v>
      </c>
      <c r="C138" s="2" t="s">
        <v>763</v>
      </c>
      <c r="D138" s="2" t="s">
        <v>764</v>
      </c>
      <c r="E138" s="2" t="s">
        <v>48</v>
      </c>
      <c r="F138" s="2" t="s">
        <v>100</v>
      </c>
      <c r="G138" s="2" t="s">
        <v>158</v>
      </c>
      <c r="H138" s="2">
        <v>2.0</v>
      </c>
      <c r="I138" s="2" t="s">
        <v>177</v>
      </c>
      <c r="J138" s="2" t="s">
        <v>177</v>
      </c>
      <c r="K138" s="2" t="s">
        <v>560</v>
      </c>
      <c r="L138" s="2" t="s">
        <v>765</v>
      </c>
      <c r="M138" s="2"/>
      <c r="N138" s="2">
        <v>2.1</v>
      </c>
      <c r="O138" s="2" t="s">
        <v>52</v>
      </c>
    </row>
    <row r="139" ht="15.75" customHeight="1">
      <c r="A139" s="8" t="s">
        <v>766</v>
      </c>
      <c r="B139" s="8" t="s">
        <v>43</v>
      </c>
      <c r="C139" s="8" t="s">
        <v>767</v>
      </c>
      <c r="D139" s="8" t="s">
        <v>768</v>
      </c>
      <c r="E139" s="8" t="s">
        <v>48</v>
      </c>
      <c r="F139" s="8" t="s">
        <v>100</v>
      </c>
      <c r="G139" s="8" t="s">
        <v>158</v>
      </c>
      <c r="H139" s="8">
        <v>2.0</v>
      </c>
      <c r="I139" s="8" t="s">
        <v>177</v>
      </c>
      <c r="J139" s="8" t="s">
        <v>145</v>
      </c>
      <c r="K139" s="8" t="s">
        <v>769</v>
      </c>
      <c r="L139" s="8" t="s">
        <v>770</v>
      </c>
      <c r="M139" s="8" t="s">
        <v>351</v>
      </c>
      <c r="N139" s="8">
        <v>1.4</v>
      </c>
      <c r="O139" s="8" t="s">
        <v>352</v>
      </c>
    </row>
    <row r="140" ht="15.75" customHeight="1">
      <c r="A140" s="2" t="s">
        <v>771</v>
      </c>
      <c r="B140" s="2" t="s">
        <v>43</v>
      </c>
      <c r="C140" s="2" t="s">
        <v>772</v>
      </c>
      <c r="D140" s="2" t="s">
        <v>773</v>
      </c>
      <c r="E140" s="2" t="s">
        <v>44</v>
      </c>
      <c r="F140" s="2" t="s">
        <v>100</v>
      </c>
      <c r="G140" s="2" t="s">
        <v>129</v>
      </c>
      <c r="H140" s="2">
        <v>2.0</v>
      </c>
      <c r="I140" s="2" t="s">
        <v>177</v>
      </c>
      <c r="J140" s="2" t="s">
        <v>145</v>
      </c>
      <c r="K140" s="2" t="s">
        <v>560</v>
      </c>
      <c r="L140" s="2" t="s">
        <v>774</v>
      </c>
      <c r="M140" s="2"/>
      <c r="N140" s="2">
        <v>1.6</v>
      </c>
      <c r="O140" s="2" t="s">
        <v>52</v>
      </c>
    </row>
    <row r="141" ht="15.75" customHeight="1">
      <c r="A141" s="8" t="s">
        <v>775</v>
      </c>
      <c r="B141" s="8" t="s">
        <v>43</v>
      </c>
      <c r="C141" s="8" t="s">
        <v>776</v>
      </c>
      <c r="D141" s="8" t="s">
        <v>777</v>
      </c>
      <c r="E141" s="8" t="s">
        <v>44</v>
      </c>
      <c r="F141" s="8" t="s">
        <v>100</v>
      </c>
      <c r="G141" s="8" t="s">
        <v>129</v>
      </c>
      <c r="H141" s="8">
        <v>2.0</v>
      </c>
      <c r="I141" s="8" t="s">
        <v>145</v>
      </c>
      <c r="J141" s="8" t="s">
        <v>145</v>
      </c>
      <c r="K141" s="8" t="s">
        <v>769</v>
      </c>
      <c r="L141" s="8" t="s">
        <v>778</v>
      </c>
      <c r="M141" s="8" t="s">
        <v>351</v>
      </c>
      <c r="N141" s="8">
        <v>1.0</v>
      </c>
      <c r="O141" s="8" t="s">
        <v>352</v>
      </c>
    </row>
    <row r="142" ht="15.75" customHeight="1">
      <c r="A142" s="8" t="s">
        <v>779</v>
      </c>
      <c r="B142" s="8" t="s">
        <v>43</v>
      </c>
      <c r="C142" s="8" t="s">
        <v>780</v>
      </c>
      <c r="D142" s="8" t="s">
        <v>781</v>
      </c>
      <c r="E142" s="8" t="s">
        <v>48</v>
      </c>
      <c r="F142" s="8" t="s">
        <v>100</v>
      </c>
      <c r="G142" s="8" t="s">
        <v>158</v>
      </c>
      <c r="H142" s="8">
        <v>1.0</v>
      </c>
      <c r="I142" s="8" t="s">
        <v>145</v>
      </c>
      <c r="J142" s="8" t="s">
        <v>145</v>
      </c>
      <c r="K142" s="8" t="s">
        <v>769</v>
      </c>
      <c r="L142" s="8" t="s">
        <v>782</v>
      </c>
      <c r="M142" s="8" t="s">
        <v>351</v>
      </c>
      <c r="N142" s="8">
        <v>1.0</v>
      </c>
      <c r="O142" s="8" t="s">
        <v>352</v>
      </c>
    </row>
    <row r="143" ht="15.75" customHeight="1">
      <c r="A143" s="2" t="s">
        <v>783</v>
      </c>
      <c r="B143" s="2" t="s">
        <v>43</v>
      </c>
      <c r="C143" s="2" t="s">
        <v>784</v>
      </c>
      <c r="D143" s="2" t="s">
        <v>505</v>
      </c>
      <c r="E143" s="2" t="s">
        <v>40</v>
      </c>
      <c r="F143" s="2" t="s">
        <v>100</v>
      </c>
      <c r="G143" s="2" t="s">
        <v>56</v>
      </c>
      <c r="H143" s="2">
        <v>1.0</v>
      </c>
      <c r="I143" s="2" t="s">
        <v>145</v>
      </c>
      <c r="J143" s="2" t="s">
        <v>145</v>
      </c>
      <c r="K143" s="2" t="s">
        <v>57</v>
      </c>
      <c r="L143" s="2" t="s">
        <v>785</v>
      </c>
      <c r="M143" s="2"/>
      <c r="N143" s="2">
        <v>40.0</v>
      </c>
      <c r="O143" s="2" t="s">
        <v>52</v>
      </c>
    </row>
    <row r="144" ht="15.75" customHeight="1">
      <c r="A144" s="8" t="s">
        <v>786</v>
      </c>
      <c r="B144" s="8" t="s">
        <v>43</v>
      </c>
      <c r="C144" s="8" t="s">
        <v>787</v>
      </c>
      <c r="D144" s="8" t="s">
        <v>788</v>
      </c>
      <c r="E144" s="8" t="s">
        <v>48</v>
      </c>
      <c r="F144" s="8" t="s">
        <v>100</v>
      </c>
      <c r="G144" s="8" t="s">
        <v>313</v>
      </c>
      <c r="H144" s="8">
        <v>2.0</v>
      </c>
      <c r="I144" s="8" t="s">
        <v>145</v>
      </c>
      <c r="J144" s="8" t="s">
        <v>789</v>
      </c>
      <c r="K144" s="8" t="s">
        <v>511</v>
      </c>
      <c r="L144" s="8" t="s">
        <v>790</v>
      </c>
      <c r="M144" s="8" t="s">
        <v>351</v>
      </c>
      <c r="N144" s="8">
        <v>1.0</v>
      </c>
      <c r="O144" s="8" t="s">
        <v>352</v>
      </c>
    </row>
    <row r="145" ht="15.75" customHeight="1">
      <c r="A145" s="8" t="s">
        <v>791</v>
      </c>
      <c r="B145" s="8" t="s">
        <v>43</v>
      </c>
      <c r="C145" s="8" t="s">
        <v>792</v>
      </c>
      <c r="D145" s="8" t="s">
        <v>793</v>
      </c>
      <c r="E145" s="8" t="s">
        <v>30</v>
      </c>
      <c r="F145" s="8" t="s">
        <v>100</v>
      </c>
      <c r="G145" s="8" t="s">
        <v>313</v>
      </c>
      <c r="H145" s="8">
        <v>2.0</v>
      </c>
      <c r="I145" s="8" t="s">
        <v>789</v>
      </c>
      <c r="J145" s="8" t="s">
        <v>789</v>
      </c>
      <c r="K145" s="8" t="s">
        <v>516</v>
      </c>
      <c r="L145" s="8" t="s">
        <v>794</v>
      </c>
      <c r="M145" s="8" t="s">
        <v>351</v>
      </c>
      <c r="N145" s="8">
        <v>1.0</v>
      </c>
      <c r="O145" s="8" t="s">
        <v>352</v>
      </c>
    </row>
    <row r="146" ht="15.75" customHeight="1">
      <c r="A146" s="8" t="s">
        <v>795</v>
      </c>
      <c r="B146" s="8" t="s">
        <v>43</v>
      </c>
      <c r="C146" s="8" t="s">
        <v>796</v>
      </c>
      <c r="D146" s="8" t="s">
        <v>797</v>
      </c>
      <c r="E146" s="8" t="s">
        <v>40</v>
      </c>
      <c r="F146" s="8" t="s">
        <v>100</v>
      </c>
      <c r="G146" s="8" t="s">
        <v>313</v>
      </c>
      <c r="H146" s="8">
        <v>2.0</v>
      </c>
      <c r="I146" s="8" t="s">
        <v>798</v>
      </c>
      <c r="J146" s="8" t="s">
        <v>799</v>
      </c>
      <c r="K146" s="8" t="s">
        <v>511</v>
      </c>
      <c r="L146" s="8" t="s">
        <v>800</v>
      </c>
      <c r="M146" s="8" t="s">
        <v>351</v>
      </c>
      <c r="N146" s="8">
        <v>1.0</v>
      </c>
      <c r="O146" s="8" t="s">
        <v>352</v>
      </c>
    </row>
    <row r="147" ht="15.75" customHeight="1">
      <c r="A147" s="8" t="s">
        <v>801</v>
      </c>
      <c r="B147" s="8" t="s">
        <v>43</v>
      </c>
      <c r="C147" s="8" t="s">
        <v>802</v>
      </c>
      <c r="D147" s="8" t="s">
        <v>803</v>
      </c>
      <c r="E147" s="8" t="s">
        <v>35</v>
      </c>
      <c r="F147" s="8" t="s">
        <v>100</v>
      </c>
      <c r="G147" s="8" t="s">
        <v>313</v>
      </c>
      <c r="H147" s="8">
        <v>1.0</v>
      </c>
      <c r="I147" s="8" t="s">
        <v>798</v>
      </c>
      <c r="J147" s="8" t="s">
        <v>804</v>
      </c>
      <c r="K147" s="8" t="s">
        <v>528</v>
      </c>
      <c r="L147" s="8" t="s">
        <v>805</v>
      </c>
      <c r="M147" s="8" t="s">
        <v>351</v>
      </c>
      <c r="N147" s="8">
        <v>0.0</v>
      </c>
      <c r="O147" s="8" t="s">
        <v>352</v>
      </c>
    </row>
    <row r="148" ht="15.75" customHeight="1">
      <c r="A148" s="8" t="s">
        <v>806</v>
      </c>
      <c r="B148" s="8" t="s">
        <v>43</v>
      </c>
      <c r="C148" s="8" t="s">
        <v>802</v>
      </c>
      <c r="D148" s="8" t="s">
        <v>803</v>
      </c>
      <c r="E148" s="8" t="s">
        <v>40</v>
      </c>
      <c r="F148" s="8" t="s">
        <v>100</v>
      </c>
      <c r="G148" s="8" t="s">
        <v>313</v>
      </c>
      <c r="H148" s="8">
        <v>1.0</v>
      </c>
      <c r="I148" s="8" t="s">
        <v>798</v>
      </c>
      <c r="J148" s="8" t="s">
        <v>804</v>
      </c>
      <c r="K148" s="8" t="s">
        <v>528</v>
      </c>
      <c r="L148" s="8" t="s">
        <v>807</v>
      </c>
      <c r="M148" s="8" t="s">
        <v>351</v>
      </c>
      <c r="N148" s="8">
        <v>0.0</v>
      </c>
      <c r="O148" s="8" t="s">
        <v>352</v>
      </c>
    </row>
    <row r="149" ht="15.75" customHeight="1">
      <c r="A149" s="8" t="s">
        <v>808</v>
      </c>
      <c r="B149" s="8" t="s">
        <v>43</v>
      </c>
      <c r="C149" s="8" t="s">
        <v>809</v>
      </c>
      <c r="D149" s="8" t="s">
        <v>803</v>
      </c>
      <c r="E149" s="8" t="s">
        <v>44</v>
      </c>
      <c r="F149" s="8" t="s">
        <v>100</v>
      </c>
      <c r="G149" s="8" t="s">
        <v>313</v>
      </c>
      <c r="H149" s="8">
        <v>1.0</v>
      </c>
      <c r="I149" s="8" t="s">
        <v>798</v>
      </c>
      <c r="J149" s="8" t="s">
        <v>804</v>
      </c>
      <c r="K149" s="8" t="s">
        <v>528</v>
      </c>
      <c r="L149" s="8" t="s">
        <v>810</v>
      </c>
      <c r="M149" s="8" t="s">
        <v>351</v>
      </c>
      <c r="N149" s="8">
        <v>0.0</v>
      </c>
      <c r="O149" s="8" t="s">
        <v>352</v>
      </c>
    </row>
    <row r="150" ht="15.75" customHeight="1">
      <c r="A150" s="8" t="s">
        <v>811</v>
      </c>
      <c r="B150" s="8" t="s">
        <v>43</v>
      </c>
      <c r="C150" s="8" t="s">
        <v>809</v>
      </c>
      <c r="D150" s="8" t="s">
        <v>803</v>
      </c>
      <c r="E150" s="8" t="s">
        <v>48</v>
      </c>
      <c r="F150" s="8" t="s">
        <v>100</v>
      </c>
      <c r="G150" s="8" t="s">
        <v>313</v>
      </c>
      <c r="H150" s="8">
        <v>1.0</v>
      </c>
      <c r="I150" s="8" t="s">
        <v>798</v>
      </c>
      <c r="J150" s="8" t="s">
        <v>804</v>
      </c>
      <c r="K150" s="8" t="s">
        <v>528</v>
      </c>
      <c r="L150" s="8" t="s">
        <v>812</v>
      </c>
      <c r="M150" s="8" t="s">
        <v>351</v>
      </c>
      <c r="N150" s="8">
        <v>0.0</v>
      </c>
      <c r="O150" s="8" t="s">
        <v>352</v>
      </c>
    </row>
    <row r="151" ht="15.75" customHeight="1">
      <c r="A151" s="8" t="s">
        <v>813</v>
      </c>
      <c r="B151" s="8" t="s">
        <v>43</v>
      </c>
      <c r="C151" s="8" t="s">
        <v>814</v>
      </c>
      <c r="D151" s="8" t="s">
        <v>803</v>
      </c>
      <c r="E151" s="8" t="s">
        <v>30</v>
      </c>
      <c r="F151" s="8" t="s">
        <v>100</v>
      </c>
      <c r="G151" s="8" t="s">
        <v>313</v>
      </c>
      <c r="H151" s="8">
        <v>1.0</v>
      </c>
      <c r="I151" s="8" t="s">
        <v>798</v>
      </c>
      <c r="J151" s="8" t="s">
        <v>804</v>
      </c>
      <c r="K151" s="8" t="s">
        <v>528</v>
      </c>
      <c r="L151" s="8" t="s">
        <v>815</v>
      </c>
      <c r="M151" s="8" t="s">
        <v>351</v>
      </c>
      <c r="N151" s="8">
        <v>0.0</v>
      </c>
      <c r="O151" s="8" t="s">
        <v>352</v>
      </c>
    </row>
    <row r="152" ht="15.75" customHeight="1">
      <c r="A152" s="2" t="s">
        <v>816</v>
      </c>
      <c r="B152" s="2" t="s">
        <v>43</v>
      </c>
      <c r="C152" s="2" t="s">
        <v>817</v>
      </c>
      <c r="D152" s="2" t="s">
        <v>818</v>
      </c>
      <c r="E152" s="2" t="s">
        <v>48</v>
      </c>
      <c r="F152" s="2" t="s">
        <v>100</v>
      </c>
      <c r="G152" s="2" t="s">
        <v>24</v>
      </c>
      <c r="H152" s="2">
        <v>3.0</v>
      </c>
      <c r="I152" s="2" t="s">
        <v>798</v>
      </c>
      <c r="J152" s="2" t="s">
        <v>37</v>
      </c>
      <c r="K152" s="2" t="s">
        <v>87</v>
      </c>
      <c r="L152" s="2" t="s">
        <v>819</v>
      </c>
      <c r="M152" s="2"/>
      <c r="N152" s="2">
        <v>8.0</v>
      </c>
      <c r="O152" s="2" t="s">
        <v>52</v>
      </c>
    </row>
    <row r="153" ht="15.75" customHeight="1">
      <c r="A153" s="2" t="s">
        <v>820</v>
      </c>
      <c r="B153" s="2" t="s">
        <v>43</v>
      </c>
      <c r="C153" s="2" t="s">
        <v>821</v>
      </c>
      <c r="D153" s="2" t="s">
        <v>55</v>
      </c>
      <c r="E153" s="2" t="s">
        <v>30</v>
      </c>
      <c r="F153" s="2" t="s">
        <v>100</v>
      </c>
      <c r="G153" s="2" t="s">
        <v>56</v>
      </c>
      <c r="H153" s="2">
        <v>2.0</v>
      </c>
      <c r="I153" s="2" t="s">
        <v>799</v>
      </c>
      <c r="J153" s="2" t="s">
        <v>804</v>
      </c>
      <c r="K153" s="2" t="s">
        <v>57</v>
      </c>
      <c r="L153" s="2" t="s">
        <v>822</v>
      </c>
      <c r="M153" s="2"/>
      <c r="N153" s="2">
        <v>36.0</v>
      </c>
      <c r="O153" s="2" t="s">
        <v>52</v>
      </c>
    </row>
    <row r="154" ht="15.75" customHeight="1">
      <c r="A154" s="8" t="s">
        <v>823</v>
      </c>
      <c r="B154" s="8" t="s">
        <v>43</v>
      </c>
      <c r="C154" s="8" t="s">
        <v>824</v>
      </c>
      <c r="D154" s="8" t="s">
        <v>825</v>
      </c>
      <c r="E154" s="8" t="s">
        <v>30</v>
      </c>
      <c r="F154" s="8" t="s">
        <v>100</v>
      </c>
      <c r="G154" s="8" t="s">
        <v>313</v>
      </c>
      <c r="H154" s="8">
        <v>1.0</v>
      </c>
      <c r="I154" s="8" t="s">
        <v>37</v>
      </c>
      <c r="J154" s="8" t="s">
        <v>37</v>
      </c>
      <c r="K154" s="8" t="s">
        <v>516</v>
      </c>
      <c r="L154" s="8" t="s">
        <v>826</v>
      </c>
      <c r="M154" s="8" t="s">
        <v>351</v>
      </c>
      <c r="N154" s="8">
        <v>0.0</v>
      </c>
      <c r="O154" s="8" t="s">
        <v>352</v>
      </c>
    </row>
    <row r="155" ht="15.75" customHeight="1">
      <c r="A155" s="2" t="s">
        <v>827</v>
      </c>
      <c r="B155" s="2" t="s">
        <v>43</v>
      </c>
      <c r="C155" s="2" t="s">
        <v>828</v>
      </c>
      <c r="D155" s="2" t="s">
        <v>829</v>
      </c>
      <c r="E155" s="2" t="s">
        <v>40</v>
      </c>
      <c r="F155" s="2" t="s">
        <v>116</v>
      </c>
      <c r="G155" s="2" t="s">
        <v>195</v>
      </c>
      <c r="H155" s="2">
        <v>2.0</v>
      </c>
      <c r="I155" s="2" t="s">
        <v>118</v>
      </c>
      <c r="J155" s="2" t="s">
        <v>118</v>
      </c>
      <c r="K155" s="2" t="s">
        <v>830</v>
      </c>
      <c r="L155" s="2" t="s">
        <v>831</v>
      </c>
      <c r="M155" s="2"/>
      <c r="N155" s="2">
        <v>7.4</v>
      </c>
      <c r="O155" s="2" t="s">
        <v>52</v>
      </c>
    </row>
    <row r="156" ht="15.75" customHeight="1">
      <c r="A156" s="2" t="s">
        <v>832</v>
      </c>
      <c r="B156" s="2" t="s">
        <v>43</v>
      </c>
      <c r="C156" s="2" t="s">
        <v>833</v>
      </c>
      <c r="D156" s="2" t="s">
        <v>834</v>
      </c>
      <c r="E156" s="2" t="s">
        <v>48</v>
      </c>
      <c r="F156" s="2" t="s">
        <v>116</v>
      </c>
      <c r="G156" s="2" t="s">
        <v>195</v>
      </c>
      <c r="H156" s="2">
        <v>2.0</v>
      </c>
      <c r="I156" s="2" t="s">
        <v>118</v>
      </c>
      <c r="J156" s="2" t="s">
        <v>835</v>
      </c>
      <c r="K156" s="2" t="s">
        <v>836</v>
      </c>
      <c r="L156" s="2" t="s">
        <v>837</v>
      </c>
      <c r="M156" s="2"/>
      <c r="N156" s="2">
        <v>8.6</v>
      </c>
      <c r="O156" s="2" t="s">
        <v>52</v>
      </c>
    </row>
    <row r="157" ht="15.75" customHeight="1">
      <c r="A157" s="2" t="s">
        <v>838</v>
      </c>
      <c r="B157" s="2" t="s">
        <v>43</v>
      </c>
      <c r="C157" s="2" t="s">
        <v>839</v>
      </c>
      <c r="D157" s="2" t="s">
        <v>840</v>
      </c>
      <c r="E157" s="2" t="s">
        <v>40</v>
      </c>
      <c r="F157" s="2" t="s">
        <v>116</v>
      </c>
      <c r="G157" s="2" t="s">
        <v>195</v>
      </c>
      <c r="H157" s="2">
        <v>3.0</v>
      </c>
      <c r="I157" s="2" t="s">
        <v>118</v>
      </c>
      <c r="J157" s="2" t="s">
        <v>835</v>
      </c>
      <c r="K157" s="2" t="s">
        <v>830</v>
      </c>
      <c r="L157" s="2" t="s">
        <v>841</v>
      </c>
      <c r="M157" s="2"/>
      <c r="N157" s="2">
        <v>6.4</v>
      </c>
      <c r="O157" s="2" t="s">
        <v>52</v>
      </c>
    </row>
    <row r="158" ht="15.75" customHeight="1">
      <c r="A158" s="2" t="s">
        <v>842</v>
      </c>
      <c r="B158" s="2" t="s">
        <v>43</v>
      </c>
      <c r="C158" s="2" t="s">
        <v>843</v>
      </c>
      <c r="D158" s="2" t="s">
        <v>844</v>
      </c>
      <c r="E158" s="2" t="s">
        <v>35</v>
      </c>
      <c r="F158" s="2" t="s">
        <v>116</v>
      </c>
      <c r="G158" s="2" t="s">
        <v>211</v>
      </c>
      <c r="H158" s="2">
        <v>5.0</v>
      </c>
      <c r="I158" s="2" t="s">
        <v>118</v>
      </c>
      <c r="J158" s="2" t="s">
        <v>835</v>
      </c>
      <c r="K158" s="2" t="s">
        <v>830</v>
      </c>
      <c r="L158" s="2" t="s">
        <v>845</v>
      </c>
      <c r="M158" s="2"/>
      <c r="N158" s="2">
        <v>4.7</v>
      </c>
      <c r="O158" s="2" t="s">
        <v>89</v>
      </c>
    </row>
    <row r="159" ht="15.75" customHeight="1">
      <c r="A159" s="2" t="s">
        <v>846</v>
      </c>
      <c r="B159" s="2" t="s">
        <v>43</v>
      </c>
      <c r="C159" s="2" t="s">
        <v>847</v>
      </c>
      <c r="D159" s="2" t="s">
        <v>848</v>
      </c>
      <c r="E159" s="2" t="s">
        <v>44</v>
      </c>
      <c r="F159" s="2" t="s">
        <v>116</v>
      </c>
      <c r="G159" s="2" t="s">
        <v>211</v>
      </c>
      <c r="H159" s="2">
        <v>3.0</v>
      </c>
      <c r="I159" s="2" t="s">
        <v>118</v>
      </c>
      <c r="J159" s="2" t="s">
        <v>835</v>
      </c>
      <c r="K159" s="2" t="s">
        <v>836</v>
      </c>
      <c r="L159" s="2" t="s">
        <v>849</v>
      </c>
      <c r="M159" s="2"/>
      <c r="N159" s="2">
        <v>8.8</v>
      </c>
      <c r="O159" s="2" t="s">
        <v>52</v>
      </c>
    </row>
    <row r="160" ht="15.75" customHeight="1">
      <c r="A160" s="2" t="s">
        <v>850</v>
      </c>
      <c r="B160" s="2" t="s">
        <v>43</v>
      </c>
      <c r="C160" s="2" t="s">
        <v>851</v>
      </c>
      <c r="D160" s="2" t="s">
        <v>852</v>
      </c>
      <c r="E160" s="2" t="s">
        <v>30</v>
      </c>
      <c r="F160" s="2" t="s">
        <v>116</v>
      </c>
      <c r="G160" s="2" t="s">
        <v>182</v>
      </c>
      <c r="H160" s="2">
        <v>5.0</v>
      </c>
      <c r="I160" s="2" t="s">
        <v>118</v>
      </c>
      <c r="J160" s="2" t="s">
        <v>853</v>
      </c>
      <c r="K160" s="2" t="s">
        <v>150</v>
      </c>
      <c r="L160" s="2" t="s">
        <v>854</v>
      </c>
      <c r="M160" s="2"/>
      <c r="N160" s="2">
        <v>4.9</v>
      </c>
      <c r="O160" s="2" t="s">
        <v>89</v>
      </c>
    </row>
    <row r="161" ht="15.75" customHeight="1">
      <c r="A161" s="2" t="s">
        <v>855</v>
      </c>
      <c r="B161" s="2" t="s">
        <v>43</v>
      </c>
      <c r="C161" s="2" t="s">
        <v>856</v>
      </c>
      <c r="D161" s="2" t="s">
        <v>857</v>
      </c>
      <c r="E161" s="2" t="s">
        <v>40</v>
      </c>
      <c r="F161" s="2" t="s">
        <v>116</v>
      </c>
      <c r="G161" s="2" t="s">
        <v>195</v>
      </c>
      <c r="H161" s="2">
        <v>3.0</v>
      </c>
      <c r="I161" s="2" t="s">
        <v>835</v>
      </c>
      <c r="J161" s="2" t="s">
        <v>858</v>
      </c>
      <c r="K161" s="2" t="s">
        <v>830</v>
      </c>
      <c r="L161" s="2" t="s">
        <v>859</v>
      </c>
      <c r="M161" s="2"/>
      <c r="N161" s="2">
        <v>5.5</v>
      </c>
      <c r="O161" s="2" t="s">
        <v>52</v>
      </c>
    </row>
    <row r="162" ht="15.75" customHeight="1">
      <c r="A162" s="2" t="s">
        <v>860</v>
      </c>
      <c r="B162" s="2" t="s">
        <v>43</v>
      </c>
      <c r="C162" s="2" t="s">
        <v>861</v>
      </c>
      <c r="D162" s="2" t="s">
        <v>862</v>
      </c>
      <c r="E162" s="2" t="s">
        <v>48</v>
      </c>
      <c r="F162" s="2" t="s">
        <v>116</v>
      </c>
      <c r="G162" s="2" t="s">
        <v>195</v>
      </c>
      <c r="H162" s="2">
        <v>2.0</v>
      </c>
      <c r="I162" s="2" t="s">
        <v>835</v>
      </c>
      <c r="J162" s="2" t="s">
        <v>858</v>
      </c>
      <c r="K162" s="2" t="s">
        <v>836</v>
      </c>
      <c r="L162" s="2" t="s">
        <v>863</v>
      </c>
      <c r="M162" s="2"/>
      <c r="N162" s="2">
        <v>7.2</v>
      </c>
      <c r="O162" s="2" t="s">
        <v>52</v>
      </c>
    </row>
    <row r="163" ht="15.75" customHeight="1">
      <c r="A163" s="2" t="s">
        <v>864</v>
      </c>
      <c r="B163" s="2" t="s">
        <v>43</v>
      </c>
      <c r="C163" s="2" t="s">
        <v>865</v>
      </c>
      <c r="D163" s="2" t="s">
        <v>866</v>
      </c>
      <c r="E163" s="2" t="s">
        <v>35</v>
      </c>
      <c r="F163" s="2" t="s">
        <v>116</v>
      </c>
      <c r="G163" s="2" t="s">
        <v>211</v>
      </c>
      <c r="H163" s="2">
        <v>3.0</v>
      </c>
      <c r="I163" s="2" t="s">
        <v>835</v>
      </c>
      <c r="J163" s="2" t="s">
        <v>858</v>
      </c>
      <c r="K163" s="2" t="s">
        <v>830</v>
      </c>
      <c r="L163" s="2" t="s">
        <v>867</v>
      </c>
      <c r="M163" s="2"/>
      <c r="N163" s="2">
        <v>5.3</v>
      </c>
      <c r="O163" s="2" t="s">
        <v>52</v>
      </c>
    </row>
    <row r="164" ht="15.75" customHeight="1">
      <c r="A164" s="2" t="s">
        <v>868</v>
      </c>
      <c r="B164" s="2" t="s">
        <v>43</v>
      </c>
      <c r="C164" s="2" t="s">
        <v>869</v>
      </c>
      <c r="D164" s="2" t="s">
        <v>870</v>
      </c>
      <c r="E164" s="2" t="s">
        <v>44</v>
      </c>
      <c r="F164" s="2" t="s">
        <v>116</v>
      </c>
      <c r="G164" s="2" t="s">
        <v>211</v>
      </c>
      <c r="H164" s="2">
        <v>3.0</v>
      </c>
      <c r="I164" s="2" t="s">
        <v>835</v>
      </c>
      <c r="J164" s="2" t="s">
        <v>858</v>
      </c>
      <c r="K164" s="2" t="s">
        <v>836</v>
      </c>
      <c r="L164" s="2" t="s">
        <v>871</v>
      </c>
      <c r="M164" s="2"/>
      <c r="N164" s="2">
        <v>7.7</v>
      </c>
      <c r="O164" s="2" t="s">
        <v>52</v>
      </c>
    </row>
    <row r="165" ht="15.75" customHeight="1">
      <c r="A165" s="2" t="s">
        <v>872</v>
      </c>
      <c r="B165" s="2" t="s">
        <v>43</v>
      </c>
      <c r="C165" s="2" t="s">
        <v>873</v>
      </c>
      <c r="D165" s="2" t="s">
        <v>55</v>
      </c>
      <c r="E165" s="2" t="s">
        <v>30</v>
      </c>
      <c r="F165" s="2" t="s">
        <v>116</v>
      </c>
      <c r="G165" s="2" t="s">
        <v>56</v>
      </c>
      <c r="H165" s="2">
        <v>2.0</v>
      </c>
      <c r="I165" s="2" t="s">
        <v>835</v>
      </c>
      <c r="J165" s="2" t="s">
        <v>858</v>
      </c>
      <c r="K165" s="2" t="s">
        <v>57</v>
      </c>
      <c r="L165" s="2" t="s">
        <v>874</v>
      </c>
      <c r="M165" s="2"/>
      <c r="N165" s="2">
        <v>32.0</v>
      </c>
      <c r="O165" s="2" t="s">
        <v>52</v>
      </c>
    </row>
    <row r="166" ht="15.75" customHeight="1">
      <c r="A166" s="2" t="s">
        <v>875</v>
      </c>
      <c r="B166" s="2" t="s">
        <v>43</v>
      </c>
      <c r="C166" s="2" t="s">
        <v>876</v>
      </c>
      <c r="D166" s="2" t="s">
        <v>877</v>
      </c>
      <c r="E166" s="2" t="s">
        <v>35</v>
      </c>
      <c r="F166" s="2" t="s">
        <v>116</v>
      </c>
      <c r="G166" s="2" t="s">
        <v>195</v>
      </c>
      <c r="H166" s="2">
        <v>3.0</v>
      </c>
      <c r="I166" s="2" t="s">
        <v>858</v>
      </c>
      <c r="J166" s="2" t="s">
        <v>853</v>
      </c>
      <c r="K166" s="2" t="s">
        <v>830</v>
      </c>
      <c r="L166" s="2" t="s">
        <v>878</v>
      </c>
      <c r="M166" s="2"/>
      <c r="N166" s="2">
        <v>4.3</v>
      </c>
      <c r="O166" s="2" t="s">
        <v>52</v>
      </c>
    </row>
    <row r="167" ht="15.75" customHeight="1">
      <c r="A167" s="2" t="s">
        <v>879</v>
      </c>
      <c r="B167" s="2" t="s">
        <v>43</v>
      </c>
      <c r="C167" s="2" t="s">
        <v>880</v>
      </c>
      <c r="D167" s="2" t="s">
        <v>881</v>
      </c>
      <c r="E167" s="2" t="s">
        <v>40</v>
      </c>
      <c r="F167" s="2" t="s">
        <v>116</v>
      </c>
      <c r="G167" s="2" t="s">
        <v>195</v>
      </c>
      <c r="H167" s="2">
        <v>2.0</v>
      </c>
      <c r="I167" s="2" t="s">
        <v>858</v>
      </c>
      <c r="J167" s="2" t="s">
        <v>853</v>
      </c>
      <c r="K167" s="2" t="s">
        <v>830</v>
      </c>
      <c r="L167" s="2" t="s">
        <v>882</v>
      </c>
      <c r="M167" s="2"/>
      <c r="N167" s="2">
        <v>4.8</v>
      </c>
      <c r="O167" s="2" t="s">
        <v>52</v>
      </c>
    </row>
    <row r="168" ht="15.75" customHeight="1">
      <c r="A168" s="2" t="s">
        <v>883</v>
      </c>
      <c r="B168" s="2" t="s">
        <v>43</v>
      </c>
      <c r="C168" s="2" t="s">
        <v>884</v>
      </c>
      <c r="D168" s="2" t="s">
        <v>885</v>
      </c>
      <c r="E168" s="2" t="s">
        <v>48</v>
      </c>
      <c r="F168" s="2" t="s">
        <v>116</v>
      </c>
      <c r="G168" s="2" t="s">
        <v>195</v>
      </c>
      <c r="H168" s="2">
        <v>2.0</v>
      </c>
      <c r="I168" s="2" t="s">
        <v>858</v>
      </c>
      <c r="J168" s="2" t="s">
        <v>886</v>
      </c>
      <c r="K168" s="2" t="s">
        <v>836</v>
      </c>
      <c r="L168" s="2" t="s">
        <v>887</v>
      </c>
      <c r="M168" s="2"/>
      <c r="N168" s="2">
        <v>5.8</v>
      </c>
      <c r="O168" s="2" t="s">
        <v>52</v>
      </c>
    </row>
    <row r="169" ht="15.75" customHeight="1">
      <c r="A169" s="2" t="s">
        <v>888</v>
      </c>
      <c r="B169" s="2" t="s">
        <v>43</v>
      </c>
      <c r="C169" s="2" t="s">
        <v>889</v>
      </c>
      <c r="D169" s="2" t="s">
        <v>890</v>
      </c>
      <c r="E169" s="2" t="s">
        <v>44</v>
      </c>
      <c r="F169" s="2" t="s">
        <v>116</v>
      </c>
      <c r="G169" s="2" t="s">
        <v>211</v>
      </c>
      <c r="H169" s="2">
        <v>5.0</v>
      </c>
      <c r="I169" s="2" t="s">
        <v>858</v>
      </c>
      <c r="J169" s="2" t="s">
        <v>886</v>
      </c>
      <c r="K169" s="2" t="s">
        <v>836</v>
      </c>
      <c r="L169" s="2" t="s">
        <v>891</v>
      </c>
      <c r="M169" s="2"/>
      <c r="N169" s="2">
        <v>5.7</v>
      </c>
      <c r="O169" s="2" t="s">
        <v>89</v>
      </c>
    </row>
    <row r="170" ht="15.75" customHeight="1">
      <c r="A170" s="2" t="s">
        <v>892</v>
      </c>
      <c r="B170" s="2" t="s">
        <v>43</v>
      </c>
      <c r="C170" s="2" t="s">
        <v>893</v>
      </c>
      <c r="D170" s="2" t="s">
        <v>894</v>
      </c>
      <c r="E170" s="2" t="s">
        <v>40</v>
      </c>
      <c r="F170" s="2" t="s">
        <v>116</v>
      </c>
      <c r="G170" s="2" t="s">
        <v>195</v>
      </c>
      <c r="H170" s="2">
        <v>1.0</v>
      </c>
      <c r="I170" s="2" t="s">
        <v>853</v>
      </c>
      <c r="J170" s="2" t="s">
        <v>853</v>
      </c>
      <c r="K170" s="2" t="s">
        <v>830</v>
      </c>
      <c r="L170" s="2" t="s">
        <v>895</v>
      </c>
      <c r="M170" s="2"/>
      <c r="N170" s="2">
        <v>4.5</v>
      </c>
      <c r="O170" s="2" t="s">
        <v>52</v>
      </c>
    </row>
    <row r="171" ht="15.75" customHeight="1">
      <c r="A171" s="2" t="s">
        <v>896</v>
      </c>
      <c r="B171" s="2" t="s">
        <v>43</v>
      </c>
      <c r="C171" s="2" t="s">
        <v>897</v>
      </c>
      <c r="D171" s="2" t="s">
        <v>898</v>
      </c>
      <c r="E171" s="2" t="s">
        <v>40</v>
      </c>
      <c r="F171" s="2" t="s">
        <v>116</v>
      </c>
      <c r="G171" s="2" t="s">
        <v>195</v>
      </c>
      <c r="H171" s="2">
        <v>2.0</v>
      </c>
      <c r="I171" s="2" t="s">
        <v>853</v>
      </c>
      <c r="J171" s="2" t="s">
        <v>886</v>
      </c>
      <c r="K171" s="2" t="s">
        <v>830</v>
      </c>
      <c r="L171" s="2" t="s">
        <v>899</v>
      </c>
      <c r="M171" s="2"/>
      <c r="N171" s="2">
        <v>3.9</v>
      </c>
      <c r="O171" s="2" t="s">
        <v>52</v>
      </c>
    </row>
    <row r="172" ht="15.75" customHeight="1">
      <c r="A172" s="2" t="s">
        <v>900</v>
      </c>
      <c r="B172" s="2" t="s">
        <v>43</v>
      </c>
      <c r="C172" s="2" t="s">
        <v>901</v>
      </c>
      <c r="D172" s="2" t="s">
        <v>902</v>
      </c>
      <c r="E172" s="2" t="s">
        <v>35</v>
      </c>
      <c r="F172" s="2" t="s">
        <v>116</v>
      </c>
      <c r="G172" s="2" t="s">
        <v>195</v>
      </c>
      <c r="H172" s="2">
        <v>5.0</v>
      </c>
      <c r="I172" s="2" t="s">
        <v>853</v>
      </c>
      <c r="J172" s="2" t="s">
        <v>903</v>
      </c>
      <c r="K172" s="2" t="s">
        <v>830</v>
      </c>
      <c r="L172" s="2" t="s">
        <v>904</v>
      </c>
      <c r="M172" s="2"/>
      <c r="N172" s="2">
        <v>2.7</v>
      </c>
      <c r="O172" s="2" t="s">
        <v>89</v>
      </c>
    </row>
    <row r="173" ht="15.75" customHeight="1">
      <c r="A173" s="2" t="s">
        <v>905</v>
      </c>
      <c r="B173" s="2" t="s">
        <v>43</v>
      </c>
      <c r="C173" s="2" t="s">
        <v>906</v>
      </c>
      <c r="D173" s="2" t="s">
        <v>907</v>
      </c>
      <c r="E173" s="2" t="s">
        <v>30</v>
      </c>
      <c r="F173" s="2" t="s">
        <v>116</v>
      </c>
      <c r="G173" s="2" t="s">
        <v>182</v>
      </c>
      <c r="H173" s="2">
        <v>3.0</v>
      </c>
      <c r="I173" s="2" t="s">
        <v>853</v>
      </c>
      <c r="J173" s="2" t="s">
        <v>903</v>
      </c>
      <c r="K173" s="2" t="s">
        <v>150</v>
      </c>
      <c r="L173" s="2" t="s">
        <v>908</v>
      </c>
      <c r="M173" s="2"/>
      <c r="N173" s="2">
        <v>4.9</v>
      </c>
      <c r="O173" s="2" t="s">
        <v>52</v>
      </c>
    </row>
    <row r="174" ht="15.75" customHeight="1">
      <c r="A174" s="2" t="s">
        <v>909</v>
      </c>
      <c r="B174" s="2" t="s">
        <v>43</v>
      </c>
      <c r="C174" s="2" t="s">
        <v>910</v>
      </c>
      <c r="D174" s="2" t="s">
        <v>911</v>
      </c>
      <c r="E174" s="2" t="s">
        <v>40</v>
      </c>
      <c r="F174" s="2" t="s">
        <v>116</v>
      </c>
      <c r="G174" s="2" t="s">
        <v>195</v>
      </c>
      <c r="H174" s="2">
        <v>2.0</v>
      </c>
      <c r="I174" s="2" t="s">
        <v>886</v>
      </c>
      <c r="J174" s="2" t="s">
        <v>886</v>
      </c>
      <c r="K174" s="2" t="s">
        <v>830</v>
      </c>
      <c r="L174" s="2" t="s">
        <v>912</v>
      </c>
      <c r="M174" s="2"/>
      <c r="N174" s="2">
        <v>3.2</v>
      </c>
      <c r="O174" s="2" t="s">
        <v>52</v>
      </c>
    </row>
    <row r="175" ht="15.75" customHeight="1">
      <c r="A175" s="2" t="s">
        <v>913</v>
      </c>
      <c r="B175" s="2" t="s">
        <v>43</v>
      </c>
      <c r="C175" s="2" t="s">
        <v>914</v>
      </c>
      <c r="D175" s="2" t="s">
        <v>915</v>
      </c>
      <c r="E175" s="2" t="s">
        <v>48</v>
      </c>
      <c r="F175" s="2" t="s">
        <v>116</v>
      </c>
      <c r="G175" s="2" t="s">
        <v>195</v>
      </c>
      <c r="H175" s="2">
        <v>2.0</v>
      </c>
      <c r="I175" s="2" t="s">
        <v>886</v>
      </c>
      <c r="J175" s="2" t="s">
        <v>903</v>
      </c>
      <c r="K175" s="2" t="s">
        <v>836</v>
      </c>
      <c r="L175" s="2" t="s">
        <v>916</v>
      </c>
      <c r="M175" s="2"/>
      <c r="N175" s="2">
        <v>4.5</v>
      </c>
      <c r="O175" s="2" t="s">
        <v>52</v>
      </c>
    </row>
    <row r="176" ht="15.75" customHeight="1">
      <c r="A176" s="2" t="s">
        <v>917</v>
      </c>
      <c r="B176" s="2" t="s">
        <v>43</v>
      </c>
      <c r="C176" s="2" t="s">
        <v>918</v>
      </c>
      <c r="D176" s="2" t="s">
        <v>919</v>
      </c>
      <c r="E176" s="2" t="s">
        <v>44</v>
      </c>
      <c r="F176" s="2" t="s">
        <v>116</v>
      </c>
      <c r="G176" s="2" t="s">
        <v>211</v>
      </c>
      <c r="H176" s="2">
        <v>2.0</v>
      </c>
      <c r="I176" s="2" t="s">
        <v>886</v>
      </c>
      <c r="J176" s="2" t="s">
        <v>903</v>
      </c>
      <c r="K176" s="2" t="s">
        <v>836</v>
      </c>
      <c r="L176" s="2" t="s">
        <v>920</v>
      </c>
      <c r="M176" s="2"/>
      <c r="N176" s="2">
        <v>4.9</v>
      </c>
      <c r="O176" s="2" t="s">
        <v>52</v>
      </c>
    </row>
    <row r="177" ht="15.75" customHeight="1">
      <c r="A177" s="2" t="s">
        <v>921</v>
      </c>
      <c r="B177" s="2" t="s">
        <v>43</v>
      </c>
      <c r="C177" s="2" t="s">
        <v>922</v>
      </c>
      <c r="D177" s="2" t="s">
        <v>923</v>
      </c>
      <c r="E177" s="2" t="s">
        <v>40</v>
      </c>
      <c r="F177" s="2" t="s">
        <v>116</v>
      </c>
      <c r="G177" s="2" t="s">
        <v>211</v>
      </c>
      <c r="H177" s="2">
        <v>5.0</v>
      </c>
      <c r="I177" s="2" t="s">
        <v>886</v>
      </c>
      <c r="J177" s="2" t="s">
        <v>924</v>
      </c>
      <c r="K177" s="2" t="s">
        <v>830</v>
      </c>
      <c r="L177" s="2" t="s">
        <v>925</v>
      </c>
      <c r="M177" s="2"/>
      <c r="N177" s="2">
        <v>1.6</v>
      </c>
      <c r="O177" s="2" t="s">
        <v>89</v>
      </c>
    </row>
    <row r="178" ht="15.75" customHeight="1">
      <c r="A178" s="2" t="s">
        <v>926</v>
      </c>
      <c r="B178" s="2" t="s">
        <v>43</v>
      </c>
      <c r="C178" s="2" t="s">
        <v>927</v>
      </c>
      <c r="D178" s="2" t="s">
        <v>928</v>
      </c>
      <c r="E178" s="2" t="s">
        <v>48</v>
      </c>
      <c r="F178" s="2" t="s">
        <v>116</v>
      </c>
      <c r="G178" s="2" t="s">
        <v>195</v>
      </c>
      <c r="H178" s="2">
        <v>1.0</v>
      </c>
      <c r="I178" s="2" t="s">
        <v>903</v>
      </c>
      <c r="J178" s="2" t="s">
        <v>924</v>
      </c>
      <c r="K178" s="2" t="s">
        <v>836</v>
      </c>
      <c r="L178" s="2" t="s">
        <v>929</v>
      </c>
      <c r="M178" s="2"/>
      <c r="N178" s="2">
        <v>3.8</v>
      </c>
      <c r="O178" s="2" t="s">
        <v>52</v>
      </c>
    </row>
    <row r="179" ht="15.75" customHeight="1">
      <c r="A179" s="2" t="s">
        <v>930</v>
      </c>
      <c r="B179" s="2" t="s">
        <v>43</v>
      </c>
      <c r="C179" s="2" t="s">
        <v>931</v>
      </c>
      <c r="D179" s="2" t="s">
        <v>932</v>
      </c>
      <c r="E179" s="2" t="s">
        <v>35</v>
      </c>
      <c r="F179" s="2" t="s">
        <v>116</v>
      </c>
      <c r="G179" s="2" t="s">
        <v>195</v>
      </c>
      <c r="H179" s="2">
        <v>2.0</v>
      </c>
      <c r="I179" s="2" t="s">
        <v>903</v>
      </c>
      <c r="J179" s="2" t="s">
        <v>924</v>
      </c>
      <c r="K179" s="2" t="s">
        <v>830</v>
      </c>
      <c r="L179" s="2" t="s">
        <v>933</v>
      </c>
      <c r="M179" s="2"/>
      <c r="N179" s="2">
        <v>2.0</v>
      </c>
      <c r="O179" s="2" t="s">
        <v>52</v>
      </c>
    </row>
    <row r="180" ht="15.75" customHeight="1">
      <c r="A180" s="2" t="s">
        <v>934</v>
      </c>
      <c r="B180" s="2" t="s">
        <v>43</v>
      </c>
      <c r="C180" s="2" t="s">
        <v>935</v>
      </c>
      <c r="D180" s="2" t="s">
        <v>936</v>
      </c>
      <c r="E180" s="2" t="s">
        <v>44</v>
      </c>
      <c r="F180" s="2" t="s">
        <v>116</v>
      </c>
      <c r="G180" s="2" t="s">
        <v>195</v>
      </c>
      <c r="H180" s="2">
        <v>3.0</v>
      </c>
      <c r="I180" s="2" t="s">
        <v>903</v>
      </c>
      <c r="J180" s="2" t="s">
        <v>924</v>
      </c>
      <c r="K180" s="2" t="s">
        <v>836</v>
      </c>
      <c r="L180" s="2" t="s">
        <v>937</v>
      </c>
      <c r="M180" s="2"/>
      <c r="N180" s="2">
        <v>3.7</v>
      </c>
      <c r="O180" s="2" t="s">
        <v>52</v>
      </c>
    </row>
    <row r="181" ht="15.75" customHeight="1">
      <c r="A181" s="2" t="s">
        <v>938</v>
      </c>
      <c r="B181" s="2" t="s">
        <v>43</v>
      </c>
      <c r="C181" s="2" t="s">
        <v>939</v>
      </c>
      <c r="D181" s="2" t="s">
        <v>940</v>
      </c>
      <c r="E181" s="2" t="s">
        <v>30</v>
      </c>
      <c r="F181" s="2" t="s">
        <v>116</v>
      </c>
      <c r="G181" s="2" t="s">
        <v>182</v>
      </c>
      <c r="H181" s="2">
        <v>3.0</v>
      </c>
      <c r="I181" s="2" t="s">
        <v>903</v>
      </c>
      <c r="J181" s="2" t="s">
        <v>215</v>
      </c>
      <c r="K181" s="2" t="s">
        <v>150</v>
      </c>
      <c r="L181" s="2" t="s">
        <v>941</v>
      </c>
      <c r="M181" s="2"/>
      <c r="N181" s="2">
        <v>3.0</v>
      </c>
      <c r="O181" s="2" t="s">
        <v>52</v>
      </c>
    </row>
    <row r="182" ht="15.75" customHeight="1">
      <c r="A182" s="8" t="s">
        <v>942</v>
      </c>
      <c r="B182" s="8" t="s">
        <v>43</v>
      </c>
      <c r="C182" s="8" t="s">
        <v>943</v>
      </c>
      <c r="D182" s="8" t="s">
        <v>944</v>
      </c>
      <c r="E182" s="8" t="s">
        <v>35</v>
      </c>
      <c r="F182" s="8" t="s">
        <v>116</v>
      </c>
      <c r="G182" s="8" t="s">
        <v>195</v>
      </c>
      <c r="H182" s="8">
        <v>3.0</v>
      </c>
      <c r="I182" s="8" t="s">
        <v>924</v>
      </c>
      <c r="J182" s="8" t="s">
        <v>215</v>
      </c>
      <c r="K182" s="8" t="s">
        <v>945</v>
      </c>
      <c r="L182" s="8" t="s">
        <v>946</v>
      </c>
      <c r="M182" s="8" t="s">
        <v>351</v>
      </c>
      <c r="N182" s="8">
        <v>1.0</v>
      </c>
      <c r="O182" s="8" t="s">
        <v>352</v>
      </c>
    </row>
    <row r="183" ht="15.75" customHeight="1">
      <c r="A183" s="8" t="s">
        <v>947</v>
      </c>
      <c r="B183" s="8" t="s">
        <v>43</v>
      </c>
      <c r="C183" s="8" t="s">
        <v>948</v>
      </c>
      <c r="D183" s="8" t="s">
        <v>949</v>
      </c>
      <c r="E183" s="8" t="s">
        <v>40</v>
      </c>
      <c r="F183" s="8" t="s">
        <v>116</v>
      </c>
      <c r="G183" s="8" t="s">
        <v>211</v>
      </c>
      <c r="H183" s="8">
        <v>2.0</v>
      </c>
      <c r="I183" s="8" t="s">
        <v>924</v>
      </c>
      <c r="J183" s="8" t="s">
        <v>215</v>
      </c>
      <c r="K183" s="8" t="s">
        <v>945</v>
      </c>
      <c r="L183" s="8" t="s">
        <v>950</v>
      </c>
      <c r="M183" s="8" t="s">
        <v>351</v>
      </c>
      <c r="N183" s="8">
        <v>1.0</v>
      </c>
      <c r="O183" s="8" t="s">
        <v>352</v>
      </c>
    </row>
    <row r="184" ht="15.75" customHeight="1">
      <c r="A184" s="2" t="s">
        <v>951</v>
      </c>
      <c r="B184" s="2" t="s">
        <v>43</v>
      </c>
      <c r="C184" s="2" t="s">
        <v>952</v>
      </c>
      <c r="D184" s="2" t="s">
        <v>953</v>
      </c>
      <c r="E184" s="2" t="s">
        <v>44</v>
      </c>
      <c r="F184" s="2" t="s">
        <v>116</v>
      </c>
      <c r="G184" s="2" t="s">
        <v>195</v>
      </c>
      <c r="H184" s="2">
        <v>3.0</v>
      </c>
      <c r="I184" s="2" t="s">
        <v>924</v>
      </c>
      <c r="J184" s="2" t="s">
        <v>215</v>
      </c>
      <c r="K184" s="2" t="s">
        <v>836</v>
      </c>
      <c r="L184" s="2" t="s">
        <v>954</v>
      </c>
      <c r="M184" s="2"/>
      <c r="N184" s="2">
        <v>2.6</v>
      </c>
      <c r="O184" s="2" t="s">
        <v>52</v>
      </c>
    </row>
    <row r="185" ht="15.75" customHeight="1">
      <c r="A185" s="2" t="s">
        <v>955</v>
      </c>
      <c r="B185" s="2" t="s">
        <v>43</v>
      </c>
      <c r="C185" s="2" t="s">
        <v>956</v>
      </c>
      <c r="D185" s="2" t="s">
        <v>957</v>
      </c>
      <c r="E185" s="2" t="s">
        <v>48</v>
      </c>
      <c r="F185" s="2" t="s">
        <v>116</v>
      </c>
      <c r="G185" s="2" t="s">
        <v>195</v>
      </c>
      <c r="H185" s="2">
        <v>2.0</v>
      </c>
      <c r="I185" s="2" t="s">
        <v>924</v>
      </c>
      <c r="J185" s="2" t="s">
        <v>215</v>
      </c>
      <c r="K185" s="2" t="s">
        <v>836</v>
      </c>
      <c r="L185" s="2" t="s">
        <v>958</v>
      </c>
      <c r="M185" s="2"/>
      <c r="N185" s="2">
        <v>2.4</v>
      </c>
      <c r="O185" s="2" t="s">
        <v>52</v>
      </c>
    </row>
    <row r="186" ht="15.75" customHeight="1">
      <c r="A186" s="8" t="s">
        <v>959</v>
      </c>
      <c r="B186" s="8" t="s">
        <v>43</v>
      </c>
      <c r="C186" s="8" t="s">
        <v>960</v>
      </c>
      <c r="D186" s="8" t="s">
        <v>961</v>
      </c>
      <c r="E186" s="8" t="s">
        <v>48</v>
      </c>
      <c r="F186" s="8" t="s">
        <v>116</v>
      </c>
      <c r="G186" s="8" t="s">
        <v>195</v>
      </c>
      <c r="H186" s="8">
        <v>2.0</v>
      </c>
      <c r="I186" s="8" t="s">
        <v>215</v>
      </c>
      <c r="J186" s="8" t="s">
        <v>199</v>
      </c>
      <c r="K186" s="8" t="s">
        <v>962</v>
      </c>
      <c r="L186" s="8" t="s">
        <v>963</v>
      </c>
      <c r="M186" s="8" t="s">
        <v>351</v>
      </c>
      <c r="N186" s="8">
        <v>1.0</v>
      </c>
      <c r="O186" s="8" t="s">
        <v>352</v>
      </c>
    </row>
    <row r="187" ht="15.75" customHeight="1">
      <c r="A187" s="2" t="s">
        <v>964</v>
      </c>
      <c r="B187" s="2" t="s">
        <v>43</v>
      </c>
      <c r="C187" s="2" t="s">
        <v>965</v>
      </c>
      <c r="D187" s="2" t="s">
        <v>966</v>
      </c>
      <c r="E187" s="2" t="s">
        <v>44</v>
      </c>
      <c r="F187" s="2" t="s">
        <v>116</v>
      </c>
      <c r="G187" s="2" t="s">
        <v>195</v>
      </c>
      <c r="H187" s="2">
        <v>2.0</v>
      </c>
      <c r="I187" s="2" t="s">
        <v>215</v>
      </c>
      <c r="J187" s="2" t="s">
        <v>199</v>
      </c>
      <c r="K187" s="2" t="s">
        <v>836</v>
      </c>
      <c r="L187" s="2" t="s">
        <v>967</v>
      </c>
      <c r="M187" s="2"/>
      <c r="N187" s="2">
        <v>1.8</v>
      </c>
      <c r="O187" s="2" t="s">
        <v>52</v>
      </c>
    </row>
    <row r="188" ht="15.75" customHeight="1">
      <c r="A188" s="8" t="s">
        <v>968</v>
      </c>
      <c r="B188" s="8" t="s">
        <v>43</v>
      </c>
      <c r="C188" s="8" t="s">
        <v>969</v>
      </c>
      <c r="D188" s="8" t="s">
        <v>970</v>
      </c>
      <c r="E188" s="8" t="s">
        <v>44</v>
      </c>
      <c r="F188" s="8" t="s">
        <v>116</v>
      </c>
      <c r="G188" s="8" t="s">
        <v>195</v>
      </c>
      <c r="H188" s="8">
        <v>2.0</v>
      </c>
      <c r="I188" s="8" t="s">
        <v>199</v>
      </c>
      <c r="J188" s="8" t="s">
        <v>199</v>
      </c>
      <c r="K188" s="8" t="s">
        <v>962</v>
      </c>
      <c r="L188" s="8" t="s">
        <v>971</v>
      </c>
      <c r="M188" s="8" t="s">
        <v>351</v>
      </c>
      <c r="N188" s="8">
        <v>1.0</v>
      </c>
      <c r="O188" s="8" t="s">
        <v>352</v>
      </c>
    </row>
    <row r="189" ht="15.75" customHeight="1">
      <c r="A189" s="2" t="s">
        <v>972</v>
      </c>
      <c r="B189" s="2" t="s">
        <v>43</v>
      </c>
      <c r="C189" s="2" t="s">
        <v>973</v>
      </c>
      <c r="D189" s="2" t="s">
        <v>505</v>
      </c>
      <c r="E189" s="2" t="s">
        <v>40</v>
      </c>
      <c r="F189" s="2" t="s">
        <v>116</v>
      </c>
      <c r="G189" s="2" t="s">
        <v>56</v>
      </c>
      <c r="H189" s="2">
        <v>1.0</v>
      </c>
      <c r="I189" s="2" t="s">
        <v>199</v>
      </c>
      <c r="J189" s="2" t="s">
        <v>199</v>
      </c>
      <c r="K189" s="2" t="s">
        <v>57</v>
      </c>
      <c r="L189" s="2" t="s">
        <v>974</v>
      </c>
      <c r="M189" s="2"/>
      <c r="N189" s="2">
        <v>26.0</v>
      </c>
      <c r="O189" s="2" t="s">
        <v>52</v>
      </c>
    </row>
    <row r="190" ht="15.75" customHeight="1">
      <c r="A190" s="8" t="s">
        <v>975</v>
      </c>
      <c r="B190" s="8" t="s">
        <v>43</v>
      </c>
      <c r="C190" s="8" t="s">
        <v>976</v>
      </c>
      <c r="D190" s="8" t="s">
        <v>977</v>
      </c>
      <c r="E190" s="8" t="s">
        <v>48</v>
      </c>
      <c r="F190" s="8" t="s">
        <v>116</v>
      </c>
      <c r="G190" s="8" t="s">
        <v>313</v>
      </c>
      <c r="H190" s="8">
        <v>2.0</v>
      </c>
      <c r="I190" s="8" t="s">
        <v>199</v>
      </c>
      <c r="J190" s="8" t="s">
        <v>978</v>
      </c>
      <c r="K190" s="8" t="s">
        <v>511</v>
      </c>
      <c r="L190" s="8" t="s">
        <v>979</v>
      </c>
      <c r="M190" s="8" t="s">
        <v>351</v>
      </c>
      <c r="N190" s="8">
        <v>1.0</v>
      </c>
      <c r="O190" s="8" t="s">
        <v>352</v>
      </c>
    </row>
    <row r="191" ht="15.75" customHeight="1">
      <c r="A191" s="8" t="s">
        <v>980</v>
      </c>
      <c r="B191" s="8" t="s">
        <v>43</v>
      </c>
      <c r="C191" s="8" t="s">
        <v>981</v>
      </c>
      <c r="D191" s="8" t="s">
        <v>982</v>
      </c>
      <c r="E191" s="8" t="s">
        <v>30</v>
      </c>
      <c r="F191" s="8" t="s">
        <v>116</v>
      </c>
      <c r="G191" s="8" t="s">
        <v>313</v>
      </c>
      <c r="H191" s="8">
        <v>2.0</v>
      </c>
      <c r="I191" s="8" t="s">
        <v>978</v>
      </c>
      <c r="J191" s="8" t="s">
        <v>978</v>
      </c>
      <c r="K191" s="8" t="s">
        <v>516</v>
      </c>
      <c r="L191" s="8" t="s">
        <v>983</v>
      </c>
      <c r="M191" s="8" t="s">
        <v>351</v>
      </c>
      <c r="N191" s="8">
        <v>1.0</v>
      </c>
      <c r="O191" s="8" t="s">
        <v>352</v>
      </c>
    </row>
    <row r="192" ht="15.75" customHeight="1">
      <c r="A192" s="8" t="s">
        <v>984</v>
      </c>
      <c r="B192" s="8" t="s">
        <v>43</v>
      </c>
      <c r="C192" s="8" t="s">
        <v>985</v>
      </c>
      <c r="D192" s="8" t="s">
        <v>986</v>
      </c>
      <c r="E192" s="8" t="s">
        <v>40</v>
      </c>
      <c r="F192" s="8" t="s">
        <v>116</v>
      </c>
      <c r="G192" s="8" t="s">
        <v>313</v>
      </c>
      <c r="H192" s="8">
        <v>2.0</v>
      </c>
      <c r="I192" s="8" t="s">
        <v>987</v>
      </c>
      <c r="J192" s="8" t="s">
        <v>988</v>
      </c>
      <c r="K192" s="8" t="s">
        <v>511</v>
      </c>
      <c r="L192" s="8" t="s">
        <v>989</v>
      </c>
      <c r="M192" s="8" t="s">
        <v>351</v>
      </c>
      <c r="N192" s="8">
        <v>1.0</v>
      </c>
      <c r="O192" s="8" t="s">
        <v>352</v>
      </c>
    </row>
    <row r="193" ht="15.75" customHeight="1">
      <c r="A193" s="8" t="s">
        <v>990</v>
      </c>
      <c r="B193" s="8" t="s">
        <v>43</v>
      </c>
      <c r="C193" s="8" t="s">
        <v>991</v>
      </c>
      <c r="D193" s="8" t="s">
        <v>992</v>
      </c>
      <c r="E193" s="8" t="s">
        <v>48</v>
      </c>
      <c r="F193" s="8" t="s">
        <v>116</v>
      </c>
      <c r="G193" s="8" t="s">
        <v>313</v>
      </c>
      <c r="H193" s="8">
        <v>3.0</v>
      </c>
      <c r="I193" s="8" t="s">
        <v>987</v>
      </c>
      <c r="J193" s="8" t="s">
        <v>993</v>
      </c>
      <c r="K193" s="8" t="s">
        <v>511</v>
      </c>
      <c r="L193" s="8" t="s">
        <v>994</v>
      </c>
      <c r="M193" s="8" t="s">
        <v>351</v>
      </c>
      <c r="N193" s="8">
        <v>1.0</v>
      </c>
      <c r="O193" s="8" t="s">
        <v>352</v>
      </c>
    </row>
    <row r="194" ht="15.75" customHeight="1">
      <c r="A194" s="8" t="s">
        <v>995</v>
      </c>
      <c r="B194" s="8" t="s">
        <v>43</v>
      </c>
      <c r="C194" s="8" t="s">
        <v>996</v>
      </c>
      <c r="D194" s="8" t="s">
        <v>997</v>
      </c>
      <c r="E194" s="8" t="s">
        <v>35</v>
      </c>
      <c r="F194" s="8" t="s">
        <v>116</v>
      </c>
      <c r="G194" s="8" t="s">
        <v>313</v>
      </c>
      <c r="H194" s="8">
        <v>1.0</v>
      </c>
      <c r="I194" s="8" t="s">
        <v>987</v>
      </c>
      <c r="J194" s="8" t="s">
        <v>993</v>
      </c>
      <c r="K194" s="8" t="s">
        <v>528</v>
      </c>
      <c r="L194" s="8" t="s">
        <v>998</v>
      </c>
      <c r="M194" s="8" t="s">
        <v>351</v>
      </c>
      <c r="N194" s="8">
        <v>0.0</v>
      </c>
      <c r="O194" s="8" t="s">
        <v>352</v>
      </c>
    </row>
    <row r="195" ht="15.75" customHeight="1">
      <c r="A195" s="8" t="s">
        <v>999</v>
      </c>
      <c r="B195" s="8" t="s">
        <v>43</v>
      </c>
      <c r="C195" s="8" t="s">
        <v>996</v>
      </c>
      <c r="D195" s="8" t="s">
        <v>997</v>
      </c>
      <c r="E195" s="8" t="s">
        <v>40</v>
      </c>
      <c r="F195" s="8" t="s">
        <v>116</v>
      </c>
      <c r="G195" s="8" t="s">
        <v>313</v>
      </c>
      <c r="H195" s="8">
        <v>1.0</v>
      </c>
      <c r="I195" s="8" t="s">
        <v>987</v>
      </c>
      <c r="J195" s="8" t="s">
        <v>993</v>
      </c>
      <c r="K195" s="8" t="s">
        <v>528</v>
      </c>
      <c r="L195" s="8" t="s">
        <v>1000</v>
      </c>
      <c r="M195" s="8" t="s">
        <v>351</v>
      </c>
      <c r="N195" s="8">
        <v>0.0</v>
      </c>
      <c r="O195" s="8" t="s">
        <v>352</v>
      </c>
    </row>
    <row r="196" ht="15.75" customHeight="1">
      <c r="A196" s="8" t="s">
        <v>1001</v>
      </c>
      <c r="B196" s="8" t="s">
        <v>43</v>
      </c>
      <c r="C196" s="8" t="s">
        <v>1002</v>
      </c>
      <c r="D196" s="8" t="s">
        <v>997</v>
      </c>
      <c r="E196" s="8" t="s">
        <v>44</v>
      </c>
      <c r="F196" s="8" t="s">
        <v>116</v>
      </c>
      <c r="G196" s="8" t="s">
        <v>313</v>
      </c>
      <c r="H196" s="8">
        <v>1.0</v>
      </c>
      <c r="I196" s="8" t="s">
        <v>987</v>
      </c>
      <c r="J196" s="8" t="s">
        <v>993</v>
      </c>
      <c r="K196" s="8" t="s">
        <v>528</v>
      </c>
      <c r="L196" s="8" t="s">
        <v>1003</v>
      </c>
      <c r="M196" s="8" t="s">
        <v>351</v>
      </c>
      <c r="N196" s="8">
        <v>0.0</v>
      </c>
      <c r="O196" s="8" t="s">
        <v>352</v>
      </c>
    </row>
    <row r="197" ht="15.75" customHeight="1">
      <c r="A197" s="8" t="s">
        <v>1004</v>
      </c>
      <c r="B197" s="8" t="s">
        <v>43</v>
      </c>
      <c r="C197" s="8" t="s">
        <v>1002</v>
      </c>
      <c r="D197" s="8" t="s">
        <v>997</v>
      </c>
      <c r="E197" s="8" t="s">
        <v>48</v>
      </c>
      <c r="F197" s="8" t="s">
        <v>116</v>
      </c>
      <c r="G197" s="8" t="s">
        <v>313</v>
      </c>
      <c r="H197" s="8">
        <v>1.0</v>
      </c>
      <c r="I197" s="8" t="s">
        <v>987</v>
      </c>
      <c r="J197" s="8" t="s">
        <v>993</v>
      </c>
      <c r="K197" s="8" t="s">
        <v>528</v>
      </c>
      <c r="L197" s="8" t="s">
        <v>1005</v>
      </c>
      <c r="M197" s="8" t="s">
        <v>351</v>
      </c>
      <c r="N197" s="8">
        <v>0.0</v>
      </c>
      <c r="O197" s="8" t="s">
        <v>352</v>
      </c>
    </row>
    <row r="198" ht="15.75" customHeight="1">
      <c r="A198" s="8" t="s">
        <v>1006</v>
      </c>
      <c r="B198" s="8" t="s">
        <v>43</v>
      </c>
      <c r="C198" s="8" t="s">
        <v>1007</v>
      </c>
      <c r="D198" s="8" t="s">
        <v>997</v>
      </c>
      <c r="E198" s="8" t="s">
        <v>30</v>
      </c>
      <c r="F198" s="8" t="s">
        <v>116</v>
      </c>
      <c r="G198" s="8" t="s">
        <v>313</v>
      </c>
      <c r="H198" s="8">
        <v>1.0</v>
      </c>
      <c r="I198" s="8" t="s">
        <v>987</v>
      </c>
      <c r="J198" s="8" t="s">
        <v>993</v>
      </c>
      <c r="K198" s="8" t="s">
        <v>528</v>
      </c>
      <c r="L198" s="8" t="s">
        <v>1008</v>
      </c>
      <c r="M198" s="8" t="s">
        <v>351</v>
      </c>
      <c r="N198" s="8">
        <v>0.0</v>
      </c>
      <c r="O198" s="8" t="s">
        <v>352</v>
      </c>
    </row>
    <row r="199" ht="15.75" customHeight="1">
      <c r="A199" s="8" t="s">
        <v>1009</v>
      </c>
      <c r="B199" s="8" t="s">
        <v>43</v>
      </c>
      <c r="C199" s="8" t="s">
        <v>1010</v>
      </c>
      <c r="D199" s="8" t="s">
        <v>1011</v>
      </c>
      <c r="E199" s="8" t="s">
        <v>30</v>
      </c>
      <c r="F199" s="8" t="s">
        <v>116</v>
      </c>
      <c r="G199" s="8" t="s">
        <v>313</v>
      </c>
      <c r="H199" s="8">
        <v>1.0</v>
      </c>
      <c r="I199" s="8" t="s">
        <v>119</v>
      </c>
      <c r="J199" s="8" t="s">
        <v>119</v>
      </c>
      <c r="K199" s="8" t="s">
        <v>516</v>
      </c>
      <c r="L199" s="8" t="s">
        <v>1012</v>
      </c>
      <c r="M199" s="8" t="s">
        <v>351</v>
      </c>
      <c r="N199" s="8">
        <v>0.0</v>
      </c>
      <c r="O199" s="8" t="s">
        <v>352</v>
      </c>
    </row>
    <row r="200" ht="15.75" customHeight="1">
      <c r="A200" s="8" t="s">
        <v>1013</v>
      </c>
      <c r="B200" s="8" t="s">
        <v>43</v>
      </c>
      <c r="C200" s="8" t="s">
        <v>1014</v>
      </c>
      <c r="D200" s="8" t="s">
        <v>1015</v>
      </c>
      <c r="E200" s="8" t="s">
        <v>48</v>
      </c>
      <c r="F200" s="8" t="s">
        <v>134</v>
      </c>
      <c r="G200" s="8" t="s">
        <v>313</v>
      </c>
      <c r="H200" s="8">
        <v>3.0</v>
      </c>
      <c r="I200" s="8" t="s">
        <v>137</v>
      </c>
      <c r="J200" s="8" t="s">
        <v>1016</v>
      </c>
      <c r="K200" s="8" t="s">
        <v>511</v>
      </c>
      <c r="L200" s="8" t="s">
        <v>1017</v>
      </c>
      <c r="M200" s="8" t="s">
        <v>351</v>
      </c>
      <c r="N200" s="8">
        <v>0.0</v>
      </c>
      <c r="O200" s="8" t="s">
        <v>352</v>
      </c>
    </row>
    <row r="201" ht="15.75" customHeight="1">
      <c r="A201" s="8" t="s">
        <v>1018</v>
      </c>
      <c r="B201" s="8" t="s">
        <v>43</v>
      </c>
      <c r="C201" s="8" t="s">
        <v>1019</v>
      </c>
      <c r="D201" s="8" t="s">
        <v>1020</v>
      </c>
      <c r="E201" s="8" t="s">
        <v>35</v>
      </c>
      <c r="F201" s="8" t="s">
        <v>134</v>
      </c>
      <c r="G201" s="8" t="s">
        <v>313</v>
      </c>
      <c r="H201" s="8">
        <v>3.0</v>
      </c>
      <c r="I201" s="8" t="s">
        <v>1021</v>
      </c>
      <c r="J201" s="8" t="s">
        <v>1022</v>
      </c>
      <c r="K201" s="8" t="s">
        <v>528</v>
      </c>
      <c r="L201" s="8" t="s">
        <v>1023</v>
      </c>
      <c r="M201" s="8" t="s">
        <v>351</v>
      </c>
      <c r="N201" s="8">
        <v>0.0</v>
      </c>
      <c r="O201" s="8" t="s">
        <v>352</v>
      </c>
    </row>
    <row r="202" ht="15.75" customHeight="1">
      <c r="A202" s="8" t="s">
        <v>1024</v>
      </c>
      <c r="B202" s="8" t="s">
        <v>43</v>
      </c>
      <c r="C202" s="8" t="s">
        <v>1025</v>
      </c>
      <c r="D202" s="8" t="s">
        <v>1026</v>
      </c>
      <c r="E202" s="8" t="s">
        <v>40</v>
      </c>
      <c r="F202" s="8" t="s">
        <v>134</v>
      </c>
      <c r="G202" s="8" t="s">
        <v>313</v>
      </c>
      <c r="H202" s="8">
        <v>3.0</v>
      </c>
      <c r="I202" s="8" t="s">
        <v>1021</v>
      </c>
      <c r="J202" s="8" t="s">
        <v>1022</v>
      </c>
      <c r="K202" s="8" t="s">
        <v>528</v>
      </c>
      <c r="L202" s="8" t="s">
        <v>1027</v>
      </c>
      <c r="M202" s="8" t="s">
        <v>351</v>
      </c>
      <c r="N202" s="8">
        <v>0.0</v>
      </c>
      <c r="O202" s="8" t="s">
        <v>352</v>
      </c>
    </row>
    <row r="203" ht="15.75" customHeight="1">
      <c r="A203" s="8" t="s">
        <v>1028</v>
      </c>
      <c r="B203" s="8" t="s">
        <v>43</v>
      </c>
      <c r="C203" s="8" t="s">
        <v>1029</v>
      </c>
      <c r="D203" s="8" t="s">
        <v>1030</v>
      </c>
      <c r="E203" s="8" t="s">
        <v>44</v>
      </c>
      <c r="F203" s="8" t="s">
        <v>134</v>
      </c>
      <c r="G203" s="8" t="s">
        <v>313</v>
      </c>
      <c r="H203" s="8">
        <v>3.0</v>
      </c>
      <c r="I203" s="8" t="s">
        <v>1021</v>
      </c>
      <c r="J203" s="8" t="s">
        <v>1022</v>
      </c>
      <c r="K203" s="8" t="s">
        <v>528</v>
      </c>
      <c r="L203" s="8" t="s">
        <v>1031</v>
      </c>
      <c r="M203" s="8" t="s">
        <v>351</v>
      </c>
      <c r="N203" s="8">
        <v>0.0</v>
      </c>
      <c r="O203" s="8" t="s">
        <v>352</v>
      </c>
    </row>
    <row r="204" ht="15.75" customHeight="1">
      <c r="A204" s="8" t="s">
        <v>1032</v>
      </c>
      <c r="B204" s="8" t="s">
        <v>43</v>
      </c>
      <c r="C204" s="8" t="s">
        <v>1033</v>
      </c>
      <c r="D204" s="8" t="s">
        <v>1034</v>
      </c>
      <c r="E204" s="8" t="s">
        <v>48</v>
      </c>
      <c r="F204" s="8" t="s">
        <v>134</v>
      </c>
      <c r="G204" s="8" t="s">
        <v>313</v>
      </c>
      <c r="H204" s="8">
        <v>2.0</v>
      </c>
      <c r="I204" s="8" t="s">
        <v>1021</v>
      </c>
      <c r="J204" s="8" t="s">
        <v>1022</v>
      </c>
      <c r="K204" s="8" t="s">
        <v>528</v>
      </c>
      <c r="L204" s="8" t="s">
        <v>1035</v>
      </c>
      <c r="M204" s="8" t="s">
        <v>351</v>
      </c>
      <c r="N204" s="8">
        <v>0.0</v>
      </c>
      <c r="O204" s="8" t="s">
        <v>352</v>
      </c>
    </row>
    <row r="205" ht="15.75" customHeight="1">
      <c r="A205" s="8" t="s">
        <v>1036</v>
      </c>
      <c r="B205" s="8" t="s">
        <v>43</v>
      </c>
      <c r="C205" s="8" t="s">
        <v>1037</v>
      </c>
      <c r="D205" s="8" t="s">
        <v>1038</v>
      </c>
      <c r="E205" s="8" t="s">
        <v>30</v>
      </c>
      <c r="F205" s="8" t="s">
        <v>134</v>
      </c>
      <c r="G205" s="8" t="s">
        <v>313</v>
      </c>
      <c r="H205" s="8">
        <v>2.0</v>
      </c>
      <c r="I205" s="8" t="s">
        <v>1021</v>
      </c>
      <c r="J205" s="8" t="s">
        <v>1022</v>
      </c>
      <c r="K205" s="8" t="s">
        <v>528</v>
      </c>
      <c r="L205" s="8" t="s">
        <v>1039</v>
      </c>
      <c r="M205" s="8" t="s">
        <v>351</v>
      </c>
      <c r="N205" s="8">
        <v>0.0</v>
      </c>
      <c r="O205" s="8" t="s">
        <v>352</v>
      </c>
    </row>
    <row r="206" ht="15.75" customHeight="1">
      <c r="A206" s="2" t="s">
        <v>1040</v>
      </c>
      <c r="B206" s="2" t="s">
        <v>43</v>
      </c>
      <c r="C206" s="2" t="s">
        <v>1041</v>
      </c>
      <c r="D206" s="2" t="s">
        <v>1041</v>
      </c>
      <c r="E206" s="2" t="s">
        <v>44</v>
      </c>
      <c r="F206" s="2" t="s">
        <v>134</v>
      </c>
      <c r="G206" s="2" t="s">
        <v>313</v>
      </c>
      <c r="H206" s="2">
        <v>2.0</v>
      </c>
      <c r="I206" s="2" t="s">
        <v>1042</v>
      </c>
      <c r="J206" s="2" t="s">
        <v>1043</v>
      </c>
      <c r="K206" s="2" t="s">
        <v>1044</v>
      </c>
      <c r="L206" s="2" t="s">
        <v>1045</v>
      </c>
      <c r="M206" s="2"/>
      <c r="N206" s="2">
        <v>12.0</v>
      </c>
      <c r="O206" s="2" t="s">
        <v>52</v>
      </c>
    </row>
    <row r="207" ht="15.75" customHeight="1">
      <c r="A207" s="2" t="s">
        <v>1046</v>
      </c>
      <c r="B207" s="2" t="s">
        <v>43</v>
      </c>
      <c r="C207" s="2" t="s">
        <v>1047</v>
      </c>
      <c r="D207" s="2" t="s">
        <v>1048</v>
      </c>
      <c r="E207" s="2" t="s">
        <v>48</v>
      </c>
      <c r="F207" s="2" t="s">
        <v>134</v>
      </c>
      <c r="G207" s="2" t="s">
        <v>56</v>
      </c>
      <c r="H207" s="2">
        <v>3.0</v>
      </c>
      <c r="I207" s="2" t="s">
        <v>1043</v>
      </c>
      <c r="J207" s="2" t="s">
        <v>1022</v>
      </c>
      <c r="K207" s="2" t="s">
        <v>57</v>
      </c>
      <c r="L207" s="2" t="s">
        <v>1049</v>
      </c>
      <c r="M207" s="2"/>
      <c r="N207" s="2">
        <v>2.0</v>
      </c>
      <c r="O207" s="2" t="s">
        <v>52</v>
      </c>
    </row>
    <row r="208" ht="15.75" customHeight="1">
      <c r="A208" s="8" t="s">
        <v>1050</v>
      </c>
      <c r="B208" s="8" t="s">
        <v>43</v>
      </c>
      <c r="C208" s="8" t="s">
        <v>1051</v>
      </c>
      <c r="D208" s="8" t="s">
        <v>1052</v>
      </c>
      <c r="E208" s="8" t="s">
        <v>30</v>
      </c>
      <c r="F208" s="8" t="s">
        <v>134</v>
      </c>
      <c r="G208" s="8" t="s">
        <v>313</v>
      </c>
      <c r="H208" s="8">
        <v>2.0</v>
      </c>
      <c r="I208" s="8" t="s">
        <v>1053</v>
      </c>
      <c r="J208" s="8" t="s">
        <v>1054</v>
      </c>
      <c r="K208" s="8" t="s">
        <v>516</v>
      </c>
      <c r="L208" s="8" t="s">
        <v>1055</v>
      </c>
      <c r="M208" s="8" t="s">
        <v>351</v>
      </c>
      <c r="N208" s="8">
        <v>0.0</v>
      </c>
      <c r="O208" s="8" t="s">
        <v>352</v>
      </c>
    </row>
    <row r="209" ht="15.75" customHeight="1">
      <c r="A209" s="8" t="s">
        <v>1056</v>
      </c>
      <c r="B209" s="8" t="s">
        <v>43</v>
      </c>
      <c r="C209" s="8" t="s">
        <v>1057</v>
      </c>
      <c r="D209" s="8" t="s">
        <v>1058</v>
      </c>
      <c r="E209" s="8" t="s">
        <v>44</v>
      </c>
      <c r="F209" s="8" t="s">
        <v>134</v>
      </c>
      <c r="G209" s="8" t="s">
        <v>313</v>
      </c>
      <c r="H209" s="8">
        <v>2.0</v>
      </c>
      <c r="I209" s="8" t="s">
        <v>140</v>
      </c>
      <c r="J209" s="8" t="s">
        <v>140</v>
      </c>
      <c r="K209" s="8" t="s">
        <v>516</v>
      </c>
      <c r="L209" s="8" t="s">
        <v>1059</v>
      </c>
      <c r="M209" s="8" t="s">
        <v>351</v>
      </c>
      <c r="N209" s="8">
        <v>0.0</v>
      </c>
      <c r="O209" s="8" t="s">
        <v>352</v>
      </c>
    </row>
    <row r="210" ht="15.75" customHeight="1">
      <c r="A210" s="8" t="s">
        <v>1060</v>
      </c>
      <c r="B210" s="8" t="s">
        <v>43</v>
      </c>
      <c r="C210" s="8" t="s">
        <v>1061</v>
      </c>
      <c r="D210" s="8" t="s">
        <v>1062</v>
      </c>
      <c r="E210" s="8" t="s">
        <v>30</v>
      </c>
      <c r="F210" s="8" t="s">
        <v>153</v>
      </c>
      <c r="G210" s="8" t="s">
        <v>56</v>
      </c>
      <c r="H210" s="8">
        <v>5.0</v>
      </c>
      <c r="I210" s="8" t="s">
        <v>155</v>
      </c>
      <c r="J210" s="8" t="s">
        <v>1063</v>
      </c>
      <c r="K210" s="8" t="s">
        <v>1064</v>
      </c>
      <c r="L210" s="8" t="s">
        <v>1065</v>
      </c>
      <c r="M210" s="8" t="s">
        <v>351</v>
      </c>
      <c r="N210" s="8">
        <v>0.0</v>
      </c>
      <c r="O210" s="8" t="s">
        <v>352</v>
      </c>
    </row>
    <row r="211" ht="15.75" customHeight="1">
      <c r="A211" s="8" t="s">
        <v>1066</v>
      </c>
      <c r="B211" s="8" t="s">
        <v>43</v>
      </c>
      <c r="C211" s="8" t="s">
        <v>1067</v>
      </c>
      <c r="D211" s="8" t="s">
        <v>1068</v>
      </c>
      <c r="E211" s="8" t="s">
        <v>30</v>
      </c>
      <c r="F211" s="8" t="s">
        <v>153</v>
      </c>
      <c r="G211" s="8" t="s">
        <v>56</v>
      </c>
      <c r="H211" s="8">
        <v>2.0</v>
      </c>
      <c r="I211" s="8" t="s">
        <v>1069</v>
      </c>
      <c r="J211" s="8" t="s">
        <v>157</v>
      </c>
      <c r="K211" s="8" t="s">
        <v>1064</v>
      </c>
      <c r="L211" s="8" t="s">
        <v>1070</v>
      </c>
      <c r="M211" s="8" t="s">
        <v>351</v>
      </c>
      <c r="N211" s="8">
        <v>0.0</v>
      </c>
      <c r="O211" s="8" t="s">
        <v>352</v>
      </c>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1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0.0"/>
    <col customWidth="1" min="2" max="2" width="60.0"/>
    <col customWidth="1" min="3" max="3" width="10.0"/>
    <col customWidth="1" min="4" max="5" width="11.0"/>
    <col customWidth="1" min="6" max="6" width="7.0"/>
    <col customWidth="1" min="7" max="76" width="3.0"/>
  </cols>
  <sheetData>
    <row r="1" ht="42.0" customHeight="1">
      <c r="A1" s="3" t="s">
        <v>25</v>
      </c>
      <c r="B1" s="3" t="s">
        <v>43</v>
      </c>
      <c r="C1" s="3" t="s">
        <v>15</v>
      </c>
      <c r="D1" s="3" t="s">
        <v>218</v>
      </c>
      <c r="E1" s="3" t="s">
        <v>220</v>
      </c>
      <c r="F1" s="3" t="s">
        <v>221</v>
      </c>
      <c r="G1" s="4" t="s">
        <v>223</v>
      </c>
      <c r="H1" s="4" t="s">
        <v>227</v>
      </c>
      <c r="I1" s="4" t="s">
        <v>228</v>
      </c>
      <c r="J1" s="4" t="s">
        <v>229</v>
      </c>
      <c r="K1" s="4" t="s">
        <v>232</v>
      </c>
      <c r="L1" s="4" t="s">
        <v>233</v>
      </c>
      <c r="M1" s="4" t="s">
        <v>235</v>
      </c>
      <c r="N1" s="4" t="s">
        <v>236</v>
      </c>
      <c r="O1" s="4" t="s">
        <v>238</v>
      </c>
      <c r="P1" s="4" t="s">
        <v>239</v>
      </c>
      <c r="Q1" s="4" t="s">
        <v>241</v>
      </c>
      <c r="R1" s="4" t="s">
        <v>242</v>
      </c>
      <c r="S1" s="4" t="s">
        <v>243</v>
      </c>
      <c r="T1" s="4" t="s">
        <v>245</v>
      </c>
      <c r="U1" s="4" t="s">
        <v>246</v>
      </c>
      <c r="V1" s="4" t="s">
        <v>247</v>
      </c>
      <c r="W1" s="4" t="s">
        <v>249</v>
      </c>
      <c r="X1" s="4" t="s">
        <v>251</v>
      </c>
      <c r="Y1" s="4" t="s">
        <v>255</v>
      </c>
      <c r="Z1" s="4" t="s">
        <v>256</v>
      </c>
      <c r="AA1" s="4" t="s">
        <v>257</v>
      </c>
      <c r="AB1" s="4" t="s">
        <v>258</v>
      </c>
      <c r="AC1" s="4" t="s">
        <v>259</v>
      </c>
      <c r="AD1" s="4" t="s">
        <v>261</v>
      </c>
      <c r="AE1" s="4" t="s">
        <v>262</v>
      </c>
      <c r="AF1" s="4" t="s">
        <v>264</v>
      </c>
      <c r="AG1" s="4" t="s">
        <v>265</v>
      </c>
      <c r="AH1" s="4" t="s">
        <v>267</v>
      </c>
      <c r="AI1" s="4" t="s">
        <v>268</v>
      </c>
      <c r="AJ1" s="4" t="s">
        <v>269</v>
      </c>
      <c r="AK1" s="4" t="s">
        <v>271</v>
      </c>
      <c r="AL1" s="4" t="s">
        <v>272</v>
      </c>
      <c r="AM1" s="4" t="s">
        <v>273</v>
      </c>
      <c r="AN1" s="4" t="s">
        <v>275</v>
      </c>
      <c r="AO1" s="4" t="s">
        <v>276</v>
      </c>
      <c r="AP1" s="4" t="s">
        <v>277</v>
      </c>
      <c r="AQ1" s="4" t="s">
        <v>279</v>
      </c>
      <c r="AR1" s="4" t="s">
        <v>281</v>
      </c>
      <c r="AS1" s="4" t="s">
        <v>283</v>
      </c>
      <c r="AT1" s="4" t="s">
        <v>285</v>
      </c>
      <c r="AU1" s="4" t="s">
        <v>287</v>
      </c>
      <c r="AV1" s="4" t="s">
        <v>288</v>
      </c>
      <c r="AW1" s="4" t="s">
        <v>289</v>
      </c>
      <c r="AX1" s="4" t="s">
        <v>290</v>
      </c>
      <c r="AY1" s="4" t="s">
        <v>291</v>
      </c>
      <c r="AZ1" s="4" t="s">
        <v>293</v>
      </c>
      <c r="BA1" s="4" t="s">
        <v>294</v>
      </c>
      <c r="BB1" s="4" t="s">
        <v>296</v>
      </c>
      <c r="BC1" s="4" t="s">
        <v>297</v>
      </c>
      <c r="BD1" s="4" t="s">
        <v>299</v>
      </c>
      <c r="BE1" s="4" t="s">
        <v>301</v>
      </c>
      <c r="BF1" s="4" t="s">
        <v>302</v>
      </c>
      <c r="BG1" s="4" t="s">
        <v>303</v>
      </c>
      <c r="BH1" s="4" t="s">
        <v>304</v>
      </c>
      <c r="BI1" s="4" t="s">
        <v>305</v>
      </c>
      <c r="BJ1" s="4" t="s">
        <v>307</v>
      </c>
      <c r="BK1" s="4" t="s">
        <v>308</v>
      </c>
      <c r="BL1" s="4" t="s">
        <v>309</v>
      </c>
      <c r="BM1" s="4" t="s">
        <v>311</v>
      </c>
      <c r="BN1" s="4" t="s">
        <v>314</v>
      </c>
      <c r="BO1" s="4" t="s">
        <v>316</v>
      </c>
      <c r="BP1" s="4" t="s">
        <v>318</v>
      </c>
      <c r="BQ1" s="4" t="s">
        <v>320</v>
      </c>
      <c r="BR1" s="4" t="s">
        <v>321</v>
      </c>
      <c r="BS1" s="4" t="s">
        <v>322</v>
      </c>
      <c r="BT1" s="4" t="s">
        <v>323</v>
      </c>
      <c r="BU1" s="4" t="s">
        <v>324</v>
      </c>
      <c r="BV1" s="4" t="s">
        <v>325</v>
      </c>
      <c r="BW1" s="4" t="s">
        <v>327</v>
      </c>
      <c r="BX1" s="4" t="s">
        <v>328</v>
      </c>
    </row>
    <row r="2">
      <c r="A2" s="5" t="s">
        <v>51</v>
      </c>
      <c r="B2" s="5" t="s">
        <v>46</v>
      </c>
      <c r="C2" s="5" t="s">
        <v>30</v>
      </c>
      <c r="D2" s="5" t="s">
        <v>27</v>
      </c>
      <c r="E2" s="5" t="s">
        <v>27</v>
      </c>
      <c r="F2" s="5">
        <v>8.3</v>
      </c>
      <c r="G2" s="6"/>
      <c r="L2" s="7"/>
      <c r="M2" s="7"/>
      <c r="S2" s="7"/>
      <c r="T2" s="7"/>
      <c r="Z2" s="7"/>
      <c r="AA2" s="7"/>
      <c r="AG2" s="7"/>
      <c r="AH2" s="7"/>
      <c r="AN2" s="7"/>
      <c r="AO2" s="7"/>
      <c r="AU2" s="7"/>
      <c r="AV2" s="7"/>
      <c r="BB2" s="7"/>
      <c r="BC2" s="7"/>
      <c r="BI2" s="7"/>
      <c r="BJ2" s="7"/>
      <c r="BP2" s="7"/>
      <c r="BQ2" s="7"/>
      <c r="BW2" s="7"/>
      <c r="BX2" s="7"/>
    </row>
    <row r="3">
      <c r="A3" s="5" t="s">
        <v>58</v>
      </c>
      <c r="B3" s="5" t="s">
        <v>54</v>
      </c>
      <c r="C3" s="5" t="s">
        <v>30</v>
      </c>
      <c r="D3" s="5" t="s">
        <v>27</v>
      </c>
      <c r="E3" s="5" t="s">
        <v>27</v>
      </c>
      <c r="F3" s="5">
        <v>69.0</v>
      </c>
      <c r="G3" s="6"/>
      <c r="L3" s="7"/>
      <c r="M3" s="7"/>
      <c r="S3" s="7"/>
      <c r="T3" s="7"/>
      <c r="Z3" s="7"/>
      <c r="AA3" s="7"/>
      <c r="AG3" s="7"/>
      <c r="AH3" s="7"/>
      <c r="AN3" s="7"/>
      <c r="AO3" s="7"/>
      <c r="AU3" s="7"/>
      <c r="AV3" s="7"/>
      <c r="BB3" s="7"/>
      <c r="BC3" s="7"/>
      <c r="BI3" s="7"/>
      <c r="BJ3" s="7"/>
      <c r="BP3" s="7"/>
      <c r="BQ3" s="7"/>
      <c r="BW3" s="7"/>
      <c r="BX3" s="7"/>
    </row>
    <row r="4">
      <c r="A4" s="5" t="s">
        <v>63</v>
      </c>
      <c r="B4" s="5" t="s">
        <v>60</v>
      </c>
      <c r="C4" s="5" t="s">
        <v>30</v>
      </c>
      <c r="D4" s="5" t="s">
        <v>27</v>
      </c>
      <c r="E4" s="5" t="s">
        <v>62</v>
      </c>
      <c r="F4" s="5">
        <v>8.5</v>
      </c>
      <c r="G4" s="6"/>
      <c r="H4" s="6"/>
      <c r="L4" s="7"/>
      <c r="M4" s="7"/>
      <c r="S4" s="7"/>
      <c r="T4" s="7"/>
      <c r="Z4" s="7"/>
      <c r="AA4" s="7"/>
      <c r="AG4" s="7"/>
      <c r="AH4" s="7"/>
      <c r="AN4" s="7"/>
      <c r="AO4" s="7"/>
      <c r="AU4" s="7"/>
      <c r="AV4" s="7"/>
      <c r="BB4" s="7"/>
      <c r="BC4" s="7"/>
      <c r="BI4" s="7"/>
      <c r="BJ4" s="7"/>
      <c r="BP4" s="7"/>
      <c r="BQ4" s="7"/>
      <c r="BW4" s="7"/>
      <c r="BX4" s="7"/>
    </row>
    <row r="5" hidden="1">
      <c r="A5" s="5" t="s">
        <v>69</v>
      </c>
      <c r="B5" s="5" t="s">
        <v>65</v>
      </c>
      <c r="C5" s="5" t="s">
        <v>35</v>
      </c>
      <c r="D5" s="5" t="s">
        <v>27</v>
      </c>
      <c r="E5" s="5" t="s">
        <v>67</v>
      </c>
      <c r="F5" s="5">
        <v>11.5</v>
      </c>
      <c r="G5" s="6"/>
      <c r="H5" s="6"/>
      <c r="I5" s="6"/>
      <c r="L5" s="7"/>
      <c r="M5" s="7"/>
      <c r="S5" s="7"/>
      <c r="T5" s="7"/>
      <c r="Z5" s="7"/>
      <c r="AA5" s="7"/>
      <c r="AG5" s="7"/>
      <c r="AH5" s="7"/>
      <c r="AN5" s="7"/>
      <c r="AO5" s="7"/>
      <c r="AU5" s="7"/>
      <c r="AV5" s="7"/>
      <c r="BB5" s="7"/>
      <c r="BC5" s="7"/>
      <c r="BI5" s="7"/>
      <c r="BJ5" s="7"/>
      <c r="BP5" s="7"/>
      <c r="BQ5" s="7"/>
      <c r="BW5" s="7"/>
      <c r="BX5" s="7"/>
    </row>
    <row r="6" hidden="1">
      <c r="A6" s="5" t="s">
        <v>81</v>
      </c>
      <c r="B6" s="5" t="s">
        <v>71</v>
      </c>
      <c r="C6" s="5" t="s">
        <v>40</v>
      </c>
      <c r="D6" s="5" t="s">
        <v>27</v>
      </c>
      <c r="E6" s="5" t="s">
        <v>79</v>
      </c>
      <c r="F6" s="5">
        <v>10.8</v>
      </c>
      <c r="G6" s="6"/>
      <c r="H6" s="6"/>
      <c r="I6" s="6"/>
      <c r="J6" s="6"/>
      <c r="L6" s="7"/>
      <c r="M6" s="7"/>
      <c r="S6" s="7"/>
      <c r="T6" s="7"/>
      <c r="Z6" s="7"/>
      <c r="AA6" s="7"/>
      <c r="AG6" s="7"/>
      <c r="AH6" s="7"/>
      <c r="AN6" s="7"/>
      <c r="AO6" s="7"/>
      <c r="AU6" s="7"/>
      <c r="AV6" s="7"/>
      <c r="BB6" s="7"/>
      <c r="BC6" s="7"/>
      <c r="BI6" s="7"/>
      <c r="BJ6" s="7"/>
      <c r="BP6" s="7"/>
      <c r="BQ6" s="7"/>
      <c r="BW6" s="7"/>
      <c r="BX6" s="7"/>
    </row>
    <row r="7" hidden="1">
      <c r="A7" s="5" t="s">
        <v>88</v>
      </c>
      <c r="B7" s="5" t="s">
        <v>85</v>
      </c>
      <c r="C7" s="5" t="s">
        <v>44</v>
      </c>
      <c r="D7" s="5" t="s">
        <v>27</v>
      </c>
      <c r="E7" s="5" t="s">
        <v>29</v>
      </c>
      <c r="F7" s="5">
        <v>8.1</v>
      </c>
      <c r="G7" s="6"/>
      <c r="H7" s="6"/>
      <c r="I7" s="6"/>
      <c r="J7" s="6"/>
      <c r="K7" s="6"/>
      <c r="L7" s="6"/>
      <c r="M7" s="6"/>
      <c r="S7" s="7"/>
      <c r="T7" s="7"/>
      <c r="Z7" s="7"/>
      <c r="AA7" s="7"/>
      <c r="AG7" s="7"/>
      <c r="AH7" s="7"/>
      <c r="AN7" s="7"/>
      <c r="AO7" s="7"/>
      <c r="AU7" s="7"/>
      <c r="AV7" s="7"/>
      <c r="BB7" s="7"/>
      <c r="BC7" s="7"/>
      <c r="BI7" s="7"/>
      <c r="BJ7" s="7"/>
      <c r="BP7" s="7"/>
      <c r="BQ7" s="7"/>
      <c r="BW7" s="7"/>
      <c r="BX7" s="7"/>
    </row>
    <row r="8" hidden="1">
      <c r="A8" s="5" t="s">
        <v>93</v>
      </c>
      <c r="B8" s="5" t="s">
        <v>91</v>
      </c>
      <c r="C8" s="5" t="s">
        <v>48</v>
      </c>
      <c r="D8" s="5" t="s">
        <v>27</v>
      </c>
      <c r="E8" s="5" t="s">
        <v>29</v>
      </c>
      <c r="F8" s="5">
        <v>8.1</v>
      </c>
      <c r="G8" s="6"/>
      <c r="H8" s="6"/>
      <c r="I8" s="6"/>
      <c r="J8" s="6"/>
      <c r="K8" s="6"/>
      <c r="L8" s="6"/>
      <c r="M8" s="6"/>
      <c r="S8" s="7"/>
      <c r="T8" s="7"/>
      <c r="Z8" s="7"/>
      <c r="AA8" s="7"/>
      <c r="AG8" s="7"/>
      <c r="AH8" s="7"/>
      <c r="AN8" s="7"/>
      <c r="AO8" s="7"/>
      <c r="AU8" s="7"/>
      <c r="AV8" s="7"/>
      <c r="BB8" s="7"/>
      <c r="BC8" s="7"/>
      <c r="BI8" s="7"/>
      <c r="BJ8" s="7"/>
      <c r="BP8" s="7"/>
      <c r="BQ8" s="7"/>
      <c r="BW8" s="7"/>
      <c r="BX8" s="7"/>
    </row>
    <row r="9">
      <c r="A9" s="5" t="s">
        <v>105</v>
      </c>
      <c r="B9" s="5" t="s">
        <v>95</v>
      </c>
      <c r="C9" s="5" t="s">
        <v>30</v>
      </c>
      <c r="D9" s="5" t="s">
        <v>62</v>
      </c>
      <c r="E9" s="5" t="s">
        <v>79</v>
      </c>
      <c r="F9" s="5">
        <v>8.5</v>
      </c>
      <c r="H9" s="6"/>
      <c r="I9" s="6"/>
      <c r="J9" s="6"/>
      <c r="L9" s="7"/>
      <c r="M9" s="7"/>
      <c r="S9" s="7"/>
      <c r="T9" s="7"/>
      <c r="Z9" s="7"/>
      <c r="AA9" s="7"/>
      <c r="AG9" s="7"/>
      <c r="AH9" s="7"/>
      <c r="AN9" s="7"/>
      <c r="AO9" s="7"/>
      <c r="AU9" s="7"/>
      <c r="AV9" s="7"/>
      <c r="BB9" s="7"/>
      <c r="BC9" s="7"/>
      <c r="BI9" s="7"/>
      <c r="BJ9" s="7"/>
      <c r="BP9" s="7"/>
      <c r="BQ9" s="7"/>
      <c r="BW9" s="7"/>
      <c r="BX9" s="7"/>
    </row>
    <row r="10" hidden="1">
      <c r="A10" s="5" t="s">
        <v>108</v>
      </c>
      <c r="B10" s="5" t="s">
        <v>107</v>
      </c>
      <c r="C10" s="5" t="s">
        <v>48</v>
      </c>
      <c r="D10" s="5" t="s">
        <v>67</v>
      </c>
      <c r="E10" s="5" t="s">
        <v>79</v>
      </c>
      <c r="F10" s="5">
        <v>66.0</v>
      </c>
      <c r="I10" s="6"/>
      <c r="J10" s="6"/>
      <c r="L10" s="7"/>
      <c r="M10" s="7"/>
      <c r="S10" s="7"/>
      <c r="T10" s="7"/>
      <c r="Z10" s="7"/>
      <c r="AA10" s="7"/>
      <c r="AG10" s="7"/>
      <c r="AH10" s="7"/>
      <c r="AN10" s="7"/>
      <c r="AO10" s="7"/>
      <c r="AU10" s="7"/>
      <c r="AV10" s="7"/>
      <c r="BB10" s="7"/>
      <c r="BC10" s="7"/>
      <c r="BI10" s="7"/>
      <c r="BJ10" s="7"/>
      <c r="BP10" s="7"/>
      <c r="BQ10" s="7"/>
      <c r="BW10" s="7"/>
      <c r="BX10" s="7"/>
    </row>
    <row r="11" hidden="1">
      <c r="A11" s="5" t="s">
        <v>115</v>
      </c>
      <c r="B11" s="5" t="s">
        <v>110</v>
      </c>
      <c r="C11" s="5" t="s">
        <v>35</v>
      </c>
      <c r="D11" s="5" t="s">
        <v>67</v>
      </c>
      <c r="E11" s="5" t="s">
        <v>29</v>
      </c>
      <c r="F11" s="5">
        <v>6.4</v>
      </c>
      <c r="I11" s="6"/>
      <c r="J11" s="6"/>
      <c r="K11" s="6"/>
      <c r="L11" s="6"/>
      <c r="M11" s="6"/>
      <c r="S11" s="7"/>
      <c r="T11" s="7"/>
      <c r="Z11" s="7"/>
      <c r="AA11" s="7"/>
      <c r="AG11" s="7"/>
      <c r="AH11" s="7"/>
      <c r="AN11" s="7"/>
      <c r="AO11" s="7"/>
      <c r="AU11" s="7"/>
      <c r="AV11" s="7"/>
      <c r="BB11" s="7"/>
      <c r="BC11" s="7"/>
      <c r="BI11" s="7"/>
      <c r="BJ11" s="7"/>
      <c r="BP11" s="7"/>
      <c r="BQ11" s="7"/>
      <c r="BW11" s="7"/>
      <c r="BX11" s="7"/>
    </row>
    <row r="12">
      <c r="A12" s="5" t="s">
        <v>125</v>
      </c>
      <c r="B12" s="5" t="s">
        <v>122</v>
      </c>
      <c r="C12" s="5" t="s">
        <v>30</v>
      </c>
      <c r="D12" s="5" t="s">
        <v>79</v>
      </c>
      <c r="E12" s="5" t="s">
        <v>124</v>
      </c>
      <c r="F12" s="5">
        <v>65.8</v>
      </c>
      <c r="J12" s="6"/>
      <c r="K12" s="6"/>
      <c r="L12" s="7"/>
      <c r="M12" s="7"/>
      <c r="S12" s="7"/>
      <c r="T12" s="7"/>
      <c r="Z12" s="7"/>
      <c r="AA12" s="7"/>
      <c r="AG12" s="7"/>
      <c r="AH12" s="7"/>
      <c r="AN12" s="7"/>
      <c r="AO12" s="7"/>
      <c r="AU12" s="7"/>
      <c r="AV12" s="7"/>
      <c r="BB12" s="7"/>
      <c r="BC12" s="7"/>
      <c r="BI12" s="7"/>
      <c r="BJ12" s="7"/>
      <c r="BP12" s="7"/>
      <c r="BQ12" s="7"/>
      <c r="BW12" s="7"/>
      <c r="BX12" s="7"/>
    </row>
    <row r="13" hidden="1">
      <c r="A13" s="5" t="s">
        <v>130</v>
      </c>
      <c r="B13" s="5" t="s">
        <v>127</v>
      </c>
      <c r="C13" s="5" t="s">
        <v>40</v>
      </c>
      <c r="D13" s="5" t="s">
        <v>79</v>
      </c>
      <c r="E13" s="5" t="s">
        <v>29</v>
      </c>
      <c r="F13" s="5">
        <v>63.0</v>
      </c>
      <c r="J13" s="6"/>
      <c r="K13" s="6"/>
      <c r="L13" s="6"/>
      <c r="M13" s="6"/>
      <c r="S13" s="7"/>
      <c r="T13" s="7"/>
      <c r="Z13" s="7"/>
      <c r="AA13" s="7"/>
      <c r="AG13" s="7"/>
      <c r="AH13" s="7"/>
      <c r="AN13" s="7"/>
      <c r="AO13" s="7"/>
      <c r="AU13" s="7"/>
      <c r="AV13" s="7"/>
      <c r="BB13" s="7"/>
      <c r="BC13" s="7"/>
      <c r="BI13" s="7"/>
      <c r="BJ13" s="7"/>
      <c r="BP13" s="7"/>
      <c r="BQ13" s="7"/>
      <c r="BW13" s="7"/>
      <c r="BX13" s="7"/>
    </row>
    <row r="14">
      <c r="A14" s="5" t="s">
        <v>138</v>
      </c>
      <c r="B14" s="5" t="s">
        <v>132</v>
      </c>
      <c r="C14" s="5" t="s">
        <v>30</v>
      </c>
      <c r="D14" s="5" t="s">
        <v>124</v>
      </c>
      <c r="E14" s="5" t="s">
        <v>135</v>
      </c>
      <c r="F14" s="5">
        <v>7.4</v>
      </c>
      <c r="K14" s="6"/>
      <c r="L14" s="6"/>
      <c r="M14" s="7"/>
      <c r="S14" s="7"/>
      <c r="T14" s="7"/>
      <c r="Z14" s="7"/>
      <c r="AA14" s="7"/>
      <c r="AG14" s="7"/>
      <c r="AH14" s="7"/>
      <c r="AN14" s="7"/>
      <c r="AO14" s="7"/>
      <c r="AU14" s="7"/>
      <c r="AV14" s="7"/>
      <c r="BB14" s="7"/>
      <c r="BC14" s="7"/>
      <c r="BI14" s="7"/>
      <c r="BJ14" s="7"/>
      <c r="BP14" s="7"/>
      <c r="BQ14" s="7"/>
      <c r="BW14" s="7"/>
      <c r="BX14" s="7"/>
    </row>
    <row r="15">
      <c r="A15" s="5" t="s">
        <v>146</v>
      </c>
      <c r="B15" s="5" t="s">
        <v>144</v>
      </c>
      <c r="C15" s="5" t="s">
        <v>30</v>
      </c>
      <c r="D15" s="5" t="s">
        <v>124</v>
      </c>
      <c r="E15" s="5" t="s">
        <v>29</v>
      </c>
      <c r="F15" s="5">
        <v>63.0</v>
      </c>
      <c r="K15" s="6"/>
      <c r="L15" s="6"/>
      <c r="M15" s="6"/>
      <c r="S15" s="7"/>
      <c r="T15" s="7"/>
      <c r="Z15" s="7"/>
      <c r="AA15" s="7"/>
      <c r="AG15" s="7"/>
      <c r="AH15" s="7"/>
      <c r="AN15" s="7"/>
      <c r="AO15" s="7"/>
      <c r="AU15" s="7"/>
      <c r="AV15" s="7"/>
      <c r="BB15" s="7"/>
      <c r="BC15" s="7"/>
      <c r="BI15" s="7"/>
      <c r="BJ15" s="7"/>
      <c r="BP15" s="7"/>
      <c r="BQ15" s="7"/>
      <c r="BW15" s="7"/>
      <c r="BX15" s="7"/>
    </row>
    <row r="16">
      <c r="A16" s="5" t="s">
        <v>151</v>
      </c>
      <c r="B16" s="5" t="s">
        <v>148</v>
      </c>
      <c r="C16" s="5" t="s">
        <v>30</v>
      </c>
      <c r="D16" s="5" t="s">
        <v>135</v>
      </c>
      <c r="E16" s="5" t="s">
        <v>29</v>
      </c>
      <c r="F16" s="5">
        <v>3.1</v>
      </c>
      <c r="L16" s="6"/>
      <c r="M16" s="6"/>
      <c r="S16" s="7"/>
      <c r="T16" s="7"/>
      <c r="Z16" s="7"/>
      <c r="AA16" s="7"/>
      <c r="AG16" s="7"/>
      <c r="AH16" s="7"/>
      <c r="AN16" s="7"/>
      <c r="AO16" s="7"/>
      <c r="AU16" s="7"/>
      <c r="AV16" s="7"/>
      <c r="BB16" s="7"/>
      <c r="BC16" s="7"/>
      <c r="BI16" s="7"/>
      <c r="BJ16" s="7"/>
      <c r="BP16" s="7"/>
      <c r="BQ16" s="7"/>
      <c r="BW16" s="7"/>
      <c r="BX16" s="7"/>
    </row>
    <row r="17" hidden="1">
      <c r="A17" s="5" t="s">
        <v>165</v>
      </c>
      <c r="B17" s="5" t="s">
        <v>156</v>
      </c>
      <c r="C17" s="5" t="s">
        <v>35</v>
      </c>
      <c r="D17" s="5" t="s">
        <v>78</v>
      </c>
      <c r="E17" s="5" t="s">
        <v>78</v>
      </c>
      <c r="F17" s="5">
        <v>7.3</v>
      </c>
      <c r="L17" s="7"/>
      <c r="M17" s="7"/>
      <c r="N17" s="6"/>
      <c r="S17" s="7"/>
      <c r="T17" s="7"/>
      <c r="Z17" s="7"/>
      <c r="AA17" s="7"/>
      <c r="AG17" s="7"/>
      <c r="AH17" s="7"/>
      <c r="AN17" s="7"/>
      <c r="AO17" s="7"/>
      <c r="AU17" s="7"/>
      <c r="AV17" s="7"/>
      <c r="BB17" s="7"/>
      <c r="BC17" s="7"/>
      <c r="BI17" s="7"/>
      <c r="BJ17" s="7"/>
      <c r="BP17" s="7"/>
      <c r="BQ17" s="7"/>
      <c r="BW17" s="7"/>
      <c r="BX17" s="7"/>
    </row>
    <row r="18" hidden="1">
      <c r="A18" s="5" t="s">
        <v>170</v>
      </c>
      <c r="B18" s="5" t="s">
        <v>167</v>
      </c>
      <c r="C18" s="5" t="s">
        <v>48</v>
      </c>
      <c r="D18" s="5" t="s">
        <v>78</v>
      </c>
      <c r="E18" s="5" t="s">
        <v>78</v>
      </c>
      <c r="F18" s="5">
        <v>9.4</v>
      </c>
      <c r="L18" s="7"/>
      <c r="M18" s="7"/>
      <c r="N18" s="6"/>
      <c r="S18" s="7"/>
      <c r="T18" s="7"/>
      <c r="Z18" s="7"/>
      <c r="AA18" s="7"/>
      <c r="AG18" s="7"/>
      <c r="AH18" s="7"/>
      <c r="AN18" s="7"/>
      <c r="AO18" s="7"/>
      <c r="AU18" s="7"/>
      <c r="AV18" s="7"/>
      <c r="BB18" s="7"/>
      <c r="BC18" s="7"/>
      <c r="BI18" s="7"/>
      <c r="BJ18" s="7"/>
      <c r="BP18" s="7"/>
      <c r="BQ18" s="7"/>
      <c r="BW18" s="7"/>
      <c r="BX18" s="7"/>
    </row>
    <row r="19" hidden="1">
      <c r="A19" s="5" t="s">
        <v>178</v>
      </c>
      <c r="B19" s="5" t="s">
        <v>172</v>
      </c>
      <c r="C19" s="5" t="s">
        <v>40</v>
      </c>
      <c r="D19" s="5" t="s">
        <v>78</v>
      </c>
      <c r="E19" s="5" t="s">
        <v>78</v>
      </c>
      <c r="F19" s="5">
        <v>7.2</v>
      </c>
      <c r="L19" s="7"/>
      <c r="M19" s="7"/>
      <c r="N19" s="6"/>
      <c r="S19" s="7"/>
      <c r="T19" s="7"/>
      <c r="Z19" s="7"/>
      <c r="AA19" s="7"/>
      <c r="AG19" s="7"/>
      <c r="AH19" s="7"/>
      <c r="AN19" s="7"/>
      <c r="AO19" s="7"/>
      <c r="AU19" s="7"/>
      <c r="AV19" s="7"/>
      <c r="BB19" s="7"/>
      <c r="BC19" s="7"/>
      <c r="BI19" s="7"/>
      <c r="BJ19" s="7"/>
      <c r="BP19" s="7"/>
      <c r="BQ19" s="7"/>
      <c r="BW19" s="7"/>
      <c r="BX19" s="7"/>
    </row>
    <row r="20">
      <c r="A20" s="5" t="s">
        <v>183</v>
      </c>
      <c r="B20" s="5" t="s">
        <v>180</v>
      </c>
      <c r="C20" s="5" t="s">
        <v>30</v>
      </c>
      <c r="D20" s="5" t="s">
        <v>78</v>
      </c>
      <c r="E20" s="5" t="s">
        <v>78</v>
      </c>
      <c r="F20" s="5">
        <v>5.7</v>
      </c>
      <c r="L20" s="7"/>
      <c r="M20" s="7"/>
      <c r="N20" s="6"/>
      <c r="S20" s="7"/>
      <c r="T20" s="7"/>
      <c r="Z20" s="7"/>
      <c r="AA20" s="7"/>
      <c r="AG20" s="7"/>
      <c r="AH20" s="7"/>
      <c r="AN20" s="7"/>
      <c r="AO20" s="7"/>
      <c r="AU20" s="7"/>
      <c r="AV20" s="7"/>
      <c r="BB20" s="7"/>
      <c r="BC20" s="7"/>
      <c r="BI20" s="7"/>
      <c r="BJ20" s="7"/>
      <c r="BP20" s="7"/>
      <c r="BQ20" s="7"/>
      <c r="BW20" s="7"/>
      <c r="BX20" s="7"/>
    </row>
    <row r="21" ht="15.75" hidden="1" customHeight="1">
      <c r="A21" s="5" t="s">
        <v>191</v>
      </c>
      <c r="B21" s="5" t="s">
        <v>188</v>
      </c>
      <c r="C21" s="5" t="s">
        <v>35</v>
      </c>
      <c r="D21" s="5" t="s">
        <v>78</v>
      </c>
      <c r="E21" s="5" t="s">
        <v>190</v>
      </c>
      <c r="F21" s="5">
        <v>6.1</v>
      </c>
      <c r="L21" s="7"/>
      <c r="M21" s="7"/>
      <c r="N21" s="6"/>
      <c r="O21" s="6"/>
      <c r="S21" s="7"/>
      <c r="T21" s="7"/>
      <c r="Z21" s="7"/>
      <c r="AA21" s="7"/>
      <c r="AG21" s="7"/>
      <c r="AH21" s="7"/>
      <c r="AN21" s="7"/>
      <c r="AO21" s="7"/>
      <c r="AU21" s="7"/>
      <c r="AV21" s="7"/>
      <c r="BB21" s="7"/>
      <c r="BC21" s="7"/>
      <c r="BI21" s="7"/>
      <c r="BJ21" s="7"/>
      <c r="BP21" s="7"/>
      <c r="BQ21" s="7"/>
      <c r="BW21" s="7"/>
      <c r="BX21" s="7"/>
    </row>
    <row r="22" ht="15.75" hidden="1" customHeight="1">
      <c r="A22" s="5" t="s">
        <v>198</v>
      </c>
      <c r="B22" s="5" t="s">
        <v>193</v>
      </c>
      <c r="C22" s="5" t="s">
        <v>48</v>
      </c>
      <c r="D22" s="5" t="s">
        <v>78</v>
      </c>
      <c r="E22" s="5" t="s">
        <v>190</v>
      </c>
      <c r="F22" s="5">
        <v>8.7</v>
      </c>
      <c r="L22" s="7"/>
      <c r="M22" s="7"/>
      <c r="N22" s="6"/>
      <c r="O22" s="6"/>
      <c r="S22" s="7"/>
      <c r="T22" s="7"/>
      <c r="Z22" s="7"/>
      <c r="AA22" s="7"/>
      <c r="AG22" s="7"/>
      <c r="AH22" s="7"/>
      <c r="AN22" s="7"/>
      <c r="AO22" s="7"/>
      <c r="AU22" s="7"/>
      <c r="AV22" s="7"/>
      <c r="BB22" s="7"/>
      <c r="BC22" s="7"/>
      <c r="BI22" s="7"/>
      <c r="BJ22" s="7"/>
      <c r="BP22" s="7"/>
      <c r="BQ22" s="7"/>
      <c r="BW22" s="7"/>
      <c r="BX22" s="7"/>
    </row>
    <row r="23" ht="15.75" hidden="1" customHeight="1">
      <c r="A23" s="5" t="s">
        <v>203</v>
      </c>
      <c r="B23" s="5" t="s">
        <v>201</v>
      </c>
      <c r="C23" s="5" t="s">
        <v>40</v>
      </c>
      <c r="D23" s="5" t="s">
        <v>78</v>
      </c>
      <c r="E23" s="5" t="s">
        <v>190</v>
      </c>
      <c r="F23" s="5">
        <v>6.7</v>
      </c>
      <c r="L23" s="7"/>
      <c r="M23" s="7"/>
      <c r="N23" s="6"/>
      <c r="O23" s="6"/>
      <c r="S23" s="7"/>
      <c r="T23" s="7"/>
      <c r="Z23" s="7"/>
      <c r="AA23" s="7"/>
      <c r="AG23" s="7"/>
      <c r="AH23" s="7"/>
      <c r="AN23" s="7"/>
      <c r="AO23" s="7"/>
      <c r="AU23" s="7"/>
      <c r="AV23" s="7"/>
      <c r="BB23" s="7"/>
      <c r="BC23" s="7"/>
      <c r="BI23" s="7"/>
      <c r="BJ23" s="7"/>
      <c r="BP23" s="7"/>
      <c r="BQ23" s="7"/>
      <c r="BW23" s="7"/>
      <c r="BX23" s="7"/>
    </row>
    <row r="24" ht="15.75" hidden="1" customHeight="1">
      <c r="A24" s="5" t="s">
        <v>207</v>
      </c>
      <c r="B24" s="5" t="s">
        <v>205</v>
      </c>
      <c r="C24" s="5" t="s">
        <v>44</v>
      </c>
      <c r="D24" s="5" t="s">
        <v>78</v>
      </c>
      <c r="E24" s="5" t="s">
        <v>190</v>
      </c>
      <c r="F24" s="5">
        <v>8.9</v>
      </c>
      <c r="L24" s="7"/>
      <c r="M24" s="7"/>
      <c r="N24" s="6"/>
      <c r="O24" s="6"/>
      <c r="S24" s="7"/>
      <c r="T24" s="7"/>
      <c r="Z24" s="7"/>
      <c r="AA24" s="7"/>
      <c r="AG24" s="7"/>
      <c r="AH24" s="7"/>
      <c r="AN24" s="7"/>
      <c r="AO24" s="7"/>
      <c r="AU24" s="7"/>
      <c r="AV24" s="7"/>
      <c r="BB24" s="7"/>
      <c r="BC24" s="7"/>
      <c r="BI24" s="7"/>
      <c r="BJ24" s="7"/>
      <c r="BP24" s="7"/>
      <c r="BQ24" s="7"/>
      <c r="BW24" s="7"/>
      <c r="BX24" s="7"/>
    </row>
    <row r="25" ht="15.75" customHeight="1">
      <c r="A25" s="5" t="s">
        <v>214</v>
      </c>
      <c r="B25" s="5" t="s">
        <v>209</v>
      </c>
      <c r="C25" s="5" t="s">
        <v>30</v>
      </c>
      <c r="D25" s="5" t="s">
        <v>78</v>
      </c>
      <c r="E25" s="5" t="s">
        <v>190</v>
      </c>
      <c r="F25" s="5">
        <v>2.4</v>
      </c>
      <c r="L25" s="7"/>
      <c r="M25" s="7"/>
      <c r="N25" s="6"/>
      <c r="O25" s="6"/>
      <c r="S25" s="7"/>
      <c r="T25" s="7"/>
      <c r="Z25" s="7"/>
      <c r="AA25" s="7"/>
      <c r="AG25" s="7"/>
      <c r="AH25" s="7"/>
      <c r="AN25" s="7"/>
      <c r="AO25" s="7"/>
      <c r="AU25" s="7"/>
      <c r="AV25" s="7"/>
      <c r="BB25" s="7"/>
      <c r="BC25" s="7"/>
      <c r="BI25" s="7"/>
      <c r="BJ25" s="7"/>
      <c r="BP25" s="7"/>
      <c r="BQ25" s="7"/>
      <c r="BW25" s="7"/>
      <c r="BX25" s="7"/>
    </row>
    <row r="26" ht="15.75" hidden="1" customHeight="1">
      <c r="A26" s="5" t="s">
        <v>222</v>
      </c>
      <c r="B26" s="5" t="s">
        <v>217</v>
      </c>
      <c r="C26" s="5" t="s">
        <v>40</v>
      </c>
      <c r="D26" s="5" t="s">
        <v>190</v>
      </c>
      <c r="E26" s="5" t="s">
        <v>190</v>
      </c>
      <c r="F26" s="5">
        <v>6.1</v>
      </c>
      <c r="L26" s="7"/>
      <c r="M26" s="7"/>
      <c r="O26" s="6"/>
      <c r="S26" s="7"/>
      <c r="T26" s="7"/>
      <c r="Z26" s="7"/>
      <c r="AA26" s="7"/>
      <c r="AG26" s="7"/>
      <c r="AH26" s="7"/>
      <c r="AN26" s="7"/>
      <c r="AO26" s="7"/>
      <c r="AU26" s="7"/>
      <c r="AV26" s="7"/>
      <c r="BB26" s="7"/>
      <c r="BC26" s="7"/>
      <c r="BI26" s="7"/>
      <c r="BJ26" s="7"/>
      <c r="BP26" s="7"/>
      <c r="BQ26" s="7"/>
      <c r="BW26" s="7"/>
      <c r="BX26" s="7"/>
    </row>
    <row r="27" ht="15.75" hidden="1" customHeight="1">
      <c r="A27" s="5" t="s">
        <v>234</v>
      </c>
      <c r="B27" s="5" t="s">
        <v>225</v>
      </c>
      <c r="C27" s="5" t="s">
        <v>35</v>
      </c>
      <c r="D27" s="5" t="s">
        <v>190</v>
      </c>
      <c r="E27" s="5" t="s">
        <v>190</v>
      </c>
      <c r="F27" s="5">
        <v>6.0</v>
      </c>
      <c r="L27" s="7"/>
      <c r="M27" s="7"/>
      <c r="O27" s="6"/>
      <c r="S27" s="7"/>
      <c r="T27" s="7"/>
      <c r="Z27" s="7"/>
      <c r="AA27" s="7"/>
      <c r="AG27" s="7"/>
      <c r="AH27" s="7"/>
      <c r="AN27" s="7"/>
      <c r="AO27" s="7"/>
      <c r="AU27" s="7"/>
      <c r="AV27" s="7"/>
      <c r="BB27" s="7"/>
      <c r="BC27" s="7"/>
      <c r="BI27" s="7"/>
      <c r="BJ27" s="7"/>
      <c r="BP27" s="7"/>
      <c r="BQ27" s="7"/>
      <c r="BW27" s="7"/>
      <c r="BX27" s="7"/>
    </row>
    <row r="28" ht="15.75" hidden="1" customHeight="1">
      <c r="A28" s="5" t="s">
        <v>250</v>
      </c>
      <c r="B28" s="5" t="s">
        <v>240</v>
      </c>
      <c r="C28" s="5" t="s">
        <v>40</v>
      </c>
      <c r="D28" s="5" t="s">
        <v>190</v>
      </c>
      <c r="E28" s="5" t="s">
        <v>248</v>
      </c>
      <c r="F28" s="5">
        <v>5.8</v>
      </c>
      <c r="L28" s="7"/>
      <c r="M28" s="7"/>
      <c r="O28" s="6"/>
      <c r="P28" s="6"/>
      <c r="S28" s="7"/>
      <c r="T28" s="7"/>
      <c r="Z28" s="7"/>
      <c r="AA28" s="7"/>
      <c r="AG28" s="7"/>
      <c r="AH28" s="7"/>
      <c r="AN28" s="7"/>
      <c r="AO28" s="7"/>
      <c r="AU28" s="7"/>
      <c r="AV28" s="7"/>
      <c r="BB28" s="7"/>
      <c r="BC28" s="7"/>
      <c r="BI28" s="7"/>
      <c r="BJ28" s="7"/>
      <c r="BP28" s="7"/>
      <c r="BQ28" s="7"/>
      <c r="BW28" s="7"/>
      <c r="BX28" s="7"/>
    </row>
    <row r="29" ht="15.75" hidden="1" customHeight="1">
      <c r="A29" s="5" t="s">
        <v>260</v>
      </c>
      <c r="B29" s="5" t="s">
        <v>253</v>
      </c>
      <c r="C29" s="5" t="s">
        <v>48</v>
      </c>
      <c r="D29" s="5" t="s">
        <v>190</v>
      </c>
      <c r="E29" s="5" t="s">
        <v>248</v>
      </c>
      <c r="F29" s="5">
        <v>7.8</v>
      </c>
      <c r="L29" s="7"/>
      <c r="M29" s="7"/>
      <c r="O29" s="6"/>
      <c r="P29" s="6"/>
      <c r="S29" s="7"/>
      <c r="T29" s="7"/>
      <c r="Z29" s="7"/>
      <c r="AA29" s="7"/>
      <c r="AG29" s="7"/>
      <c r="AH29" s="7"/>
      <c r="AN29" s="7"/>
      <c r="AO29" s="7"/>
      <c r="AU29" s="7"/>
      <c r="AV29" s="7"/>
      <c r="BB29" s="7"/>
      <c r="BC29" s="7"/>
      <c r="BI29" s="7"/>
      <c r="BJ29" s="7"/>
      <c r="BP29" s="7"/>
      <c r="BQ29" s="7"/>
      <c r="BW29" s="7"/>
      <c r="BX29" s="7"/>
    </row>
    <row r="30" ht="15.75" hidden="1" customHeight="1">
      <c r="A30" s="5" t="s">
        <v>274</v>
      </c>
      <c r="B30" s="5" t="s">
        <v>266</v>
      </c>
      <c r="C30" s="5" t="s">
        <v>35</v>
      </c>
      <c r="D30" s="5" t="s">
        <v>190</v>
      </c>
      <c r="E30" s="5" t="s">
        <v>248</v>
      </c>
      <c r="F30" s="5">
        <v>5.4</v>
      </c>
      <c r="L30" s="7"/>
      <c r="M30" s="7"/>
      <c r="O30" s="6"/>
      <c r="P30" s="6"/>
      <c r="S30" s="7"/>
      <c r="T30" s="7"/>
      <c r="Z30" s="7"/>
      <c r="AA30" s="7"/>
      <c r="AG30" s="7"/>
      <c r="AH30" s="7"/>
      <c r="AN30" s="7"/>
      <c r="AO30" s="7"/>
      <c r="AU30" s="7"/>
      <c r="AV30" s="7"/>
      <c r="BB30" s="7"/>
      <c r="BC30" s="7"/>
      <c r="BI30" s="7"/>
      <c r="BJ30" s="7"/>
      <c r="BP30" s="7"/>
      <c r="BQ30" s="7"/>
      <c r="BW30" s="7"/>
      <c r="BX30" s="7"/>
    </row>
    <row r="31" ht="15.75" hidden="1" customHeight="1">
      <c r="A31" s="5" t="s">
        <v>292</v>
      </c>
      <c r="B31" s="5" t="s">
        <v>280</v>
      </c>
      <c r="C31" s="5" t="s">
        <v>44</v>
      </c>
      <c r="D31" s="5" t="s">
        <v>190</v>
      </c>
      <c r="E31" s="5" t="s">
        <v>248</v>
      </c>
      <c r="F31" s="5">
        <v>7.8</v>
      </c>
      <c r="L31" s="7"/>
      <c r="M31" s="7"/>
      <c r="O31" s="6"/>
      <c r="P31" s="6"/>
      <c r="S31" s="7"/>
      <c r="T31" s="7"/>
      <c r="Z31" s="7"/>
      <c r="AA31" s="7"/>
      <c r="AG31" s="7"/>
      <c r="AH31" s="7"/>
      <c r="AN31" s="7"/>
      <c r="AO31" s="7"/>
      <c r="AU31" s="7"/>
      <c r="AV31" s="7"/>
      <c r="BB31" s="7"/>
      <c r="BC31" s="7"/>
      <c r="BI31" s="7"/>
      <c r="BJ31" s="7"/>
      <c r="BP31" s="7"/>
      <c r="BQ31" s="7"/>
      <c r="BW31" s="7"/>
      <c r="BX31" s="7"/>
    </row>
    <row r="32" ht="15.75" customHeight="1">
      <c r="A32" s="5" t="s">
        <v>306</v>
      </c>
      <c r="B32" s="5" t="s">
        <v>298</v>
      </c>
      <c r="C32" s="5" t="s">
        <v>30</v>
      </c>
      <c r="D32" s="5" t="s">
        <v>190</v>
      </c>
      <c r="E32" s="5" t="s">
        <v>248</v>
      </c>
      <c r="F32" s="5">
        <v>2.4</v>
      </c>
      <c r="L32" s="7"/>
      <c r="M32" s="7"/>
      <c r="O32" s="6"/>
      <c r="P32" s="6"/>
      <c r="S32" s="7"/>
      <c r="T32" s="7"/>
      <c r="Z32" s="7"/>
      <c r="AA32" s="7"/>
      <c r="AG32" s="7"/>
      <c r="AH32" s="7"/>
      <c r="AN32" s="7"/>
      <c r="AO32" s="7"/>
      <c r="AU32" s="7"/>
      <c r="AV32" s="7"/>
      <c r="BB32" s="7"/>
      <c r="BC32" s="7"/>
      <c r="BI32" s="7"/>
      <c r="BJ32" s="7"/>
      <c r="BP32" s="7"/>
      <c r="BQ32" s="7"/>
      <c r="BW32" s="7"/>
      <c r="BX32" s="7"/>
    </row>
    <row r="33" ht="15.75" customHeight="1">
      <c r="A33" s="5" t="s">
        <v>326</v>
      </c>
      <c r="B33" s="5" t="s">
        <v>312</v>
      </c>
      <c r="C33" s="5" t="s">
        <v>30</v>
      </c>
      <c r="D33" s="5" t="s">
        <v>190</v>
      </c>
      <c r="E33" s="5" t="s">
        <v>248</v>
      </c>
      <c r="F33" s="5">
        <v>60.0</v>
      </c>
      <c r="L33" s="7"/>
      <c r="M33" s="7"/>
      <c r="O33" s="6"/>
      <c r="P33" s="6"/>
      <c r="S33" s="7"/>
      <c r="T33" s="7"/>
      <c r="Z33" s="7"/>
      <c r="AA33" s="7"/>
      <c r="AG33" s="7"/>
      <c r="AH33" s="7"/>
      <c r="AN33" s="7"/>
      <c r="AO33" s="7"/>
      <c r="AU33" s="7"/>
      <c r="AV33" s="7"/>
      <c r="BB33" s="7"/>
      <c r="BC33" s="7"/>
      <c r="BI33" s="7"/>
      <c r="BJ33" s="7"/>
      <c r="BP33" s="7"/>
      <c r="BQ33" s="7"/>
      <c r="BW33" s="7"/>
      <c r="BX33" s="7"/>
    </row>
    <row r="34" ht="15.75" hidden="1" customHeight="1">
      <c r="A34" s="5" t="s">
        <v>332</v>
      </c>
      <c r="B34" s="5" t="s">
        <v>330</v>
      </c>
      <c r="C34" s="5" t="s">
        <v>48</v>
      </c>
      <c r="D34" s="5" t="s">
        <v>248</v>
      </c>
      <c r="E34" s="5" t="s">
        <v>248</v>
      </c>
      <c r="F34" s="5">
        <v>7.1</v>
      </c>
      <c r="L34" s="7"/>
      <c r="M34" s="7"/>
      <c r="P34" s="6"/>
      <c r="S34" s="7"/>
      <c r="T34" s="7"/>
      <c r="Z34" s="7"/>
      <c r="AA34" s="7"/>
      <c r="AG34" s="7"/>
      <c r="AH34" s="7"/>
      <c r="AN34" s="7"/>
      <c r="AO34" s="7"/>
      <c r="AU34" s="7"/>
      <c r="AV34" s="7"/>
      <c r="BB34" s="7"/>
      <c r="BC34" s="7"/>
      <c r="BI34" s="7"/>
      <c r="BJ34" s="7"/>
      <c r="BP34" s="7"/>
      <c r="BQ34" s="7"/>
      <c r="BW34" s="7"/>
      <c r="BX34" s="7"/>
    </row>
    <row r="35" ht="15.75" hidden="1" customHeight="1">
      <c r="A35" s="5" t="s">
        <v>336</v>
      </c>
      <c r="B35" s="5" t="s">
        <v>334</v>
      </c>
      <c r="C35" s="5" t="s">
        <v>40</v>
      </c>
      <c r="D35" s="5" t="s">
        <v>248</v>
      </c>
      <c r="E35" s="5" t="s">
        <v>248</v>
      </c>
      <c r="F35" s="5">
        <v>5.3</v>
      </c>
      <c r="L35" s="7"/>
      <c r="M35" s="7"/>
      <c r="P35" s="6"/>
      <c r="S35" s="7"/>
      <c r="T35" s="7"/>
      <c r="Z35" s="7"/>
      <c r="AA35" s="7"/>
      <c r="AG35" s="7"/>
      <c r="AH35" s="7"/>
      <c r="AN35" s="7"/>
      <c r="AO35" s="7"/>
      <c r="AU35" s="7"/>
      <c r="AV35" s="7"/>
      <c r="BB35" s="7"/>
      <c r="BC35" s="7"/>
      <c r="BI35" s="7"/>
      <c r="BJ35" s="7"/>
      <c r="BP35" s="7"/>
      <c r="BQ35" s="7"/>
      <c r="BW35" s="7"/>
      <c r="BX35" s="7"/>
    </row>
    <row r="36" ht="15.75" hidden="1" customHeight="1">
      <c r="A36" s="5" t="s">
        <v>340</v>
      </c>
      <c r="B36" s="5" t="s">
        <v>338</v>
      </c>
      <c r="C36" s="5" t="s">
        <v>44</v>
      </c>
      <c r="D36" s="5" t="s">
        <v>248</v>
      </c>
      <c r="E36" s="5" t="s">
        <v>248</v>
      </c>
      <c r="F36" s="5">
        <v>7.0</v>
      </c>
      <c r="L36" s="7"/>
      <c r="M36" s="7"/>
      <c r="P36" s="6"/>
      <c r="S36" s="7"/>
      <c r="T36" s="7"/>
      <c r="Z36" s="7"/>
      <c r="AA36" s="7"/>
      <c r="AG36" s="7"/>
      <c r="AH36" s="7"/>
      <c r="AN36" s="7"/>
      <c r="AO36" s="7"/>
      <c r="AU36" s="7"/>
      <c r="AV36" s="7"/>
      <c r="BB36" s="7"/>
      <c r="BC36" s="7"/>
      <c r="BI36" s="7"/>
      <c r="BJ36" s="7"/>
      <c r="BP36" s="7"/>
      <c r="BQ36" s="7"/>
      <c r="BW36" s="7"/>
      <c r="BX36" s="7"/>
    </row>
    <row r="37" ht="15.75" hidden="1" customHeight="1">
      <c r="A37" s="5" t="s">
        <v>344</v>
      </c>
      <c r="B37" s="5" t="s">
        <v>342</v>
      </c>
      <c r="C37" s="5" t="s">
        <v>40</v>
      </c>
      <c r="D37" s="5" t="s">
        <v>248</v>
      </c>
      <c r="E37" s="5" t="s">
        <v>248</v>
      </c>
      <c r="F37" s="5">
        <v>5.0</v>
      </c>
      <c r="L37" s="7"/>
      <c r="M37" s="7"/>
      <c r="P37" s="6"/>
      <c r="S37" s="7"/>
      <c r="T37" s="7"/>
      <c r="Z37" s="7"/>
      <c r="AA37" s="7"/>
      <c r="AG37" s="7"/>
      <c r="AH37" s="7"/>
      <c r="AN37" s="7"/>
      <c r="AO37" s="7"/>
      <c r="AU37" s="7"/>
      <c r="AV37" s="7"/>
      <c r="BB37" s="7"/>
      <c r="BC37" s="7"/>
      <c r="BI37" s="7"/>
      <c r="BJ37" s="7"/>
      <c r="BP37" s="7"/>
      <c r="BQ37" s="7"/>
      <c r="BW37" s="7"/>
      <c r="BX37" s="7"/>
    </row>
    <row r="38" ht="15.75" customHeight="1">
      <c r="A38" s="5" t="s">
        <v>350</v>
      </c>
      <c r="B38" s="10" t="s">
        <v>346</v>
      </c>
      <c r="C38" s="5" t="s">
        <v>30</v>
      </c>
      <c r="D38" s="5" t="s">
        <v>248</v>
      </c>
      <c r="E38" s="5" t="s">
        <v>348</v>
      </c>
      <c r="F38" s="5">
        <v>1.4</v>
      </c>
      <c r="L38" s="7"/>
      <c r="M38" s="7"/>
      <c r="P38" s="11"/>
      <c r="Q38" s="11"/>
      <c r="S38" s="7"/>
      <c r="T38" s="7"/>
      <c r="Z38" s="7"/>
      <c r="AA38" s="7"/>
      <c r="AG38" s="7"/>
      <c r="AH38" s="7"/>
      <c r="AN38" s="7"/>
      <c r="AO38" s="7"/>
      <c r="AU38" s="7"/>
      <c r="AV38" s="7"/>
      <c r="BB38" s="7"/>
      <c r="BC38" s="7"/>
      <c r="BI38" s="7"/>
      <c r="BJ38" s="7"/>
      <c r="BP38" s="7"/>
      <c r="BQ38" s="7"/>
      <c r="BW38" s="7"/>
      <c r="BX38" s="7"/>
    </row>
    <row r="39" ht="15.75" hidden="1" customHeight="1">
      <c r="A39" s="5" t="s">
        <v>356</v>
      </c>
      <c r="B39" s="5" t="s">
        <v>354</v>
      </c>
      <c r="C39" s="5" t="s">
        <v>48</v>
      </c>
      <c r="D39" s="5" t="s">
        <v>248</v>
      </c>
      <c r="E39" s="5" t="s">
        <v>348</v>
      </c>
      <c r="F39" s="5">
        <v>6.5</v>
      </c>
      <c r="L39" s="7"/>
      <c r="M39" s="7"/>
      <c r="P39" s="6"/>
      <c r="Q39" s="6"/>
      <c r="S39" s="7"/>
      <c r="T39" s="7"/>
      <c r="Z39" s="7"/>
      <c r="AA39" s="7"/>
      <c r="AG39" s="7"/>
      <c r="AH39" s="7"/>
      <c r="AN39" s="7"/>
      <c r="AO39" s="7"/>
      <c r="AU39" s="7"/>
      <c r="AV39" s="7"/>
      <c r="BB39" s="7"/>
      <c r="BC39" s="7"/>
      <c r="BI39" s="7"/>
      <c r="BJ39" s="7"/>
      <c r="BP39" s="7"/>
      <c r="BQ39" s="7"/>
      <c r="BW39" s="7"/>
      <c r="BX39" s="7"/>
    </row>
    <row r="40" ht="15.75" hidden="1" customHeight="1">
      <c r="A40" s="5" t="s">
        <v>360</v>
      </c>
      <c r="B40" s="5" t="s">
        <v>358</v>
      </c>
      <c r="C40" s="5" t="s">
        <v>40</v>
      </c>
      <c r="D40" s="5" t="s">
        <v>248</v>
      </c>
      <c r="E40" s="5" t="s">
        <v>348</v>
      </c>
      <c r="F40" s="5">
        <v>4.8</v>
      </c>
      <c r="L40" s="7"/>
      <c r="M40" s="7"/>
      <c r="P40" s="6"/>
      <c r="Q40" s="6"/>
      <c r="S40" s="7"/>
      <c r="T40" s="7"/>
      <c r="Z40" s="7"/>
      <c r="AA40" s="7"/>
      <c r="AG40" s="7"/>
      <c r="AH40" s="7"/>
      <c r="AN40" s="7"/>
      <c r="AO40" s="7"/>
      <c r="AU40" s="7"/>
      <c r="AV40" s="7"/>
      <c r="BB40" s="7"/>
      <c r="BC40" s="7"/>
      <c r="BI40" s="7"/>
      <c r="BJ40" s="7"/>
      <c r="BP40" s="7"/>
      <c r="BQ40" s="7"/>
      <c r="BW40" s="7"/>
      <c r="BX40" s="7"/>
    </row>
    <row r="41" ht="15.75" hidden="1" customHeight="1">
      <c r="A41" s="5" t="s">
        <v>364</v>
      </c>
      <c r="B41" s="5" t="s">
        <v>362</v>
      </c>
      <c r="C41" s="5" t="s">
        <v>35</v>
      </c>
      <c r="D41" s="5" t="s">
        <v>248</v>
      </c>
      <c r="E41" s="5" t="s">
        <v>348</v>
      </c>
      <c r="F41" s="5">
        <v>4.3</v>
      </c>
      <c r="L41" s="7"/>
      <c r="M41" s="7"/>
      <c r="P41" s="6"/>
      <c r="Q41" s="6"/>
      <c r="S41" s="7"/>
      <c r="T41" s="7"/>
      <c r="Z41" s="7"/>
      <c r="AA41" s="7"/>
      <c r="AG41" s="7"/>
      <c r="AH41" s="7"/>
      <c r="AN41" s="7"/>
      <c r="AO41" s="7"/>
      <c r="AU41" s="7"/>
      <c r="AV41" s="7"/>
      <c r="BB41" s="7"/>
      <c r="BC41" s="7"/>
      <c r="BI41" s="7"/>
      <c r="BJ41" s="7"/>
      <c r="BP41" s="7"/>
      <c r="BQ41" s="7"/>
      <c r="BW41" s="7"/>
      <c r="BX41" s="7"/>
    </row>
    <row r="42" ht="15.75" hidden="1" customHeight="1">
      <c r="A42" s="5" t="s">
        <v>368</v>
      </c>
      <c r="B42" s="5" t="s">
        <v>366</v>
      </c>
      <c r="C42" s="5" t="s">
        <v>48</v>
      </c>
      <c r="D42" s="5" t="s">
        <v>348</v>
      </c>
      <c r="E42" s="5" t="s">
        <v>348</v>
      </c>
      <c r="F42" s="5">
        <v>6.1</v>
      </c>
      <c r="L42" s="7"/>
      <c r="M42" s="7"/>
      <c r="Q42" s="6"/>
      <c r="S42" s="7"/>
      <c r="T42" s="7"/>
      <c r="Z42" s="7"/>
      <c r="AA42" s="7"/>
      <c r="AG42" s="7"/>
      <c r="AH42" s="7"/>
      <c r="AN42" s="7"/>
      <c r="AO42" s="7"/>
      <c r="AU42" s="7"/>
      <c r="AV42" s="7"/>
      <c r="BB42" s="7"/>
      <c r="BC42" s="7"/>
      <c r="BI42" s="7"/>
      <c r="BJ42" s="7"/>
      <c r="BP42" s="7"/>
      <c r="BQ42" s="7"/>
      <c r="BW42" s="7"/>
      <c r="BX42" s="7"/>
    </row>
    <row r="43" ht="15.75" hidden="1" customHeight="1">
      <c r="A43" s="5" t="s">
        <v>372</v>
      </c>
      <c r="B43" s="5" t="s">
        <v>370</v>
      </c>
      <c r="C43" s="5" t="s">
        <v>44</v>
      </c>
      <c r="D43" s="5" t="s">
        <v>348</v>
      </c>
      <c r="E43" s="5" t="s">
        <v>348</v>
      </c>
      <c r="F43" s="5">
        <v>6.6</v>
      </c>
      <c r="L43" s="7"/>
      <c r="M43" s="7"/>
      <c r="Q43" s="6"/>
      <c r="S43" s="7"/>
      <c r="T43" s="7"/>
      <c r="Z43" s="7"/>
      <c r="AA43" s="7"/>
      <c r="AG43" s="7"/>
      <c r="AH43" s="7"/>
      <c r="AN43" s="7"/>
      <c r="AO43" s="7"/>
      <c r="AU43" s="7"/>
      <c r="AV43" s="7"/>
      <c r="BB43" s="7"/>
      <c r="BC43" s="7"/>
      <c r="BI43" s="7"/>
      <c r="BJ43" s="7"/>
      <c r="BP43" s="7"/>
      <c r="BQ43" s="7"/>
      <c r="BW43" s="7"/>
      <c r="BX43" s="7"/>
    </row>
    <row r="44" ht="15.75" hidden="1" customHeight="1">
      <c r="A44" s="5" t="s">
        <v>376</v>
      </c>
      <c r="B44" s="5" t="s">
        <v>374</v>
      </c>
      <c r="C44" s="5" t="s">
        <v>40</v>
      </c>
      <c r="D44" s="5" t="s">
        <v>348</v>
      </c>
      <c r="E44" s="5" t="s">
        <v>348</v>
      </c>
      <c r="F44" s="5">
        <v>4.2</v>
      </c>
      <c r="L44" s="7"/>
      <c r="M44" s="7"/>
      <c r="Q44" s="6"/>
      <c r="S44" s="7"/>
      <c r="T44" s="7"/>
      <c r="Z44" s="7"/>
      <c r="AA44" s="7"/>
      <c r="AG44" s="7"/>
      <c r="AH44" s="7"/>
      <c r="AN44" s="7"/>
      <c r="AO44" s="7"/>
      <c r="AU44" s="7"/>
      <c r="AV44" s="7"/>
      <c r="BB44" s="7"/>
      <c r="BC44" s="7"/>
      <c r="BI44" s="7"/>
      <c r="BJ44" s="7"/>
      <c r="BP44" s="7"/>
      <c r="BQ44" s="7"/>
      <c r="BW44" s="7"/>
      <c r="BX44" s="7"/>
    </row>
    <row r="45" ht="15.75" customHeight="1">
      <c r="A45" s="5" t="s">
        <v>382</v>
      </c>
      <c r="B45" s="10" t="s">
        <v>379</v>
      </c>
      <c r="C45" s="5" t="s">
        <v>30</v>
      </c>
      <c r="D45" s="5" t="s">
        <v>348</v>
      </c>
      <c r="E45" s="5" t="s">
        <v>381</v>
      </c>
      <c r="F45" s="5">
        <v>1.4</v>
      </c>
      <c r="L45" s="7"/>
      <c r="M45" s="7"/>
      <c r="Q45" s="11"/>
      <c r="R45" s="11"/>
      <c r="S45" s="7"/>
      <c r="T45" s="7"/>
      <c r="Z45" s="7"/>
      <c r="AA45" s="7"/>
      <c r="AG45" s="7"/>
      <c r="AH45" s="7"/>
      <c r="AN45" s="7"/>
      <c r="AO45" s="7"/>
      <c r="AU45" s="7"/>
      <c r="AV45" s="7"/>
      <c r="BB45" s="7"/>
      <c r="BC45" s="7"/>
      <c r="BI45" s="7"/>
      <c r="BJ45" s="7"/>
      <c r="BP45" s="7"/>
      <c r="BQ45" s="7"/>
      <c r="BW45" s="7"/>
      <c r="BX45" s="7"/>
    </row>
    <row r="46" ht="15.75" hidden="1" customHeight="1">
      <c r="A46" s="5" t="s">
        <v>386</v>
      </c>
      <c r="B46" s="5" t="s">
        <v>384</v>
      </c>
      <c r="C46" s="5" t="s">
        <v>35</v>
      </c>
      <c r="D46" s="5" t="s">
        <v>348</v>
      </c>
      <c r="E46" s="5" t="s">
        <v>381</v>
      </c>
      <c r="F46" s="5">
        <v>3.8</v>
      </c>
      <c r="L46" s="7"/>
      <c r="M46" s="7"/>
      <c r="Q46" s="6"/>
      <c r="R46" s="6"/>
      <c r="S46" s="7"/>
      <c r="T46" s="7"/>
      <c r="Z46" s="7"/>
      <c r="AA46" s="7"/>
      <c r="AG46" s="7"/>
      <c r="AH46" s="7"/>
      <c r="AN46" s="7"/>
      <c r="AO46" s="7"/>
      <c r="AU46" s="7"/>
      <c r="AV46" s="7"/>
      <c r="BB46" s="7"/>
      <c r="BC46" s="7"/>
      <c r="BI46" s="7"/>
      <c r="BJ46" s="7"/>
      <c r="BP46" s="7"/>
      <c r="BQ46" s="7"/>
      <c r="BW46" s="7"/>
      <c r="BX46" s="7"/>
    </row>
    <row r="47" ht="15.75" hidden="1" customHeight="1">
      <c r="A47" s="5" t="s">
        <v>390</v>
      </c>
      <c r="B47" s="5" t="s">
        <v>388</v>
      </c>
      <c r="C47" s="5" t="s">
        <v>48</v>
      </c>
      <c r="D47" s="5" t="s">
        <v>348</v>
      </c>
      <c r="E47" s="5" t="s">
        <v>381</v>
      </c>
      <c r="F47" s="5">
        <v>5.8</v>
      </c>
      <c r="L47" s="7"/>
      <c r="M47" s="7"/>
      <c r="Q47" s="6"/>
      <c r="R47" s="6"/>
      <c r="S47" s="7"/>
      <c r="T47" s="7"/>
      <c r="Z47" s="7"/>
      <c r="AA47" s="7"/>
      <c r="AG47" s="7"/>
      <c r="AH47" s="7"/>
      <c r="AN47" s="7"/>
      <c r="AO47" s="7"/>
      <c r="AU47" s="7"/>
      <c r="AV47" s="7"/>
      <c r="BB47" s="7"/>
      <c r="BC47" s="7"/>
      <c r="BI47" s="7"/>
      <c r="BJ47" s="7"/>
      <c r="BP47" s="7"/>
      <c r="BQ47" s="7"/>
      <c r="BW47" s="7"/>
      <c r="BX47" s="7"/>
    </row>
    <row r="48" ht="15.75" hidden="1" customHeight="1">
      <c r="A48" s="5" t="s">
        <v>394</v>
      </c>
      <c r="B48" s="5" t="s">
        <v>392</v>
      </c>
      <c r="C48" s="5" t="s">
        <v>40</v>
      </c>
      <c r="D48" s="5" t="s">
        <v>348</v>
      </c>
      <c r="E48" s="5" t="s">
        <v>381</v>
      </c>
      <c r="F48" s="5">
        <v>3.7</v>
      </c>
      <c r="L48" s="7"/>
      <c r="M48" s="7"/>
      <c r="Q48" s="6"/>
      <c r="R48" s="6"/>
      <c r="S48" s="7"/>
      <c r="T48" s="7"/>
      <c r="Z48" s="7"/>
      <c r="AA48" s="7"/>
      <c r="AG48" s="7"/>
      <c r="AH48" s="7"/>
      <c r="AN48" s="7"/>
      <c r="AO48" s="7"/>
      <c r="AU48" s="7"/>
      <c r="AV48" s="7"/>
      <c r="BB48" s="7"/>
      <c r="BC48" s="7"/>
      <c r="BI48" s="7"/>
      <c r="BJ48" s="7"/>
      <c r="BP48" s="7"/>
      <c r="BQ48" s="7"/>
      <c r="BW48" s="7"/>
      <c r="BX48" s="7"/>
    </row>
    <row r="49" ht="15.75" hidden="1" customHeight="1">
      <c r="A49" s="5" t="s">
        <v>398</v>
      </c>
      <c r="B49" s="5" t="s">
        <v>396</v>
      </c>
      <c r="C49" s="5" t="s">
        <v>44</v>
      </c>
      <c r="D49" s="5" t="s">
        <v>348</v>
      </c>
      <c r="E49" s="5" t="s">
        <v>381</v>
      </c>
      <c r="F49" s="5">
        <v>5.5</v>
      </c>
      <c r="L49" s="7"/>
      <c r="M49" s="7"/>
      <c r="Q49" s="6"/>
      <c r="R49" s="6"/>
      <c r="S49" s="7"/>
      <c r="T49" s="7"/>
      <c r="Z49" s="7"/>
      <c r="AA49" s="7"/>
      <c r="AG49" s="7"/>
      <c r="AH49" s="7"/>
      <c r="AN49" s="7"/>
      <c r="AO49" s="7"/>
      <c r="AU49" s="7"/>
      <c r="AV49" s="7"/>
      <c r="BB49" s="7"/>
      <c r="BC49" s="7"/>
      <c r="BI49" s="7"/>
      <c r="BJ49" s="7"/>
      <c r="BP49" s="7"/>
      <c r="BQ49" s="7"/>
      <c r="BW49" s="7"/>
      <c r="BX49" s="7"/>
    </row>
    <row r="50" ht="15.75" hidden="1" customHeight="1">
      <c r="A50" s="5" t="s">
        <v>402</v>
      </c>
      <c r="B50" s="5" t="s">
        <v>400</v>
      </c>
      <c r="C50" s="5" t="s">
        <v>35</v>
      </c>
      <c r="D50" s="5" t="s">
        <v>381</v>
      </c>
      <c r="E50" s="5" t="s">
        <v>381</v>
      </c>
      <c r="F50" s="5">
        <v>3.2</v>
      </c>
      <c r="L50" s="7"/>
      <c r="M50" s="7"/>
      <c r="R50" s="6"/>
      <c r="S50" s="7"/>
      <c r="T50" s="7"/>
      <c r="Z50" s="7"/>
      <c r="AA50" s="7"/>
      <c r="AG50" s="7"/>
      <c r="AH50" s="7"/>
      <c r="AN50" s="7"/>
      <c r="AO50" s="7"/>
      <c r="AU50" s="7"/>
      <c r="AV50" s="7"/>
      <c r="BB50" s="7"/>
      <c r="BC50" s="7"/>
      <c r="BI50" s="7"/>
      <c r="BJ50" s="7"/>
      <c r="BP50" s="7"/>
      <c r="BQ50" s="7"/>
      <c r="BW50" s="7"/>
      <c r="BX50" s="7"/>
    </row>
    <row r="51" ht="15.75" hidden="1" customHeight="1">
      <c r="A51" s="5" t="s">
        <v>406</v>
      </c>
      <c r="B51" s="5" t="s">
        <v>404</v>
      </c>
      <c r="C51" s="5" t="s">
        <v>48</v>
      </c>
      <c r="D51" s="5" t="s">
        <v>381</v>
      </c>
      <c r="E51" s="5" t="s">
        <v>381</v>
      </c>
      <c r="F51" s="5">
        <v>5.2</v>
      </c>
      <c r="L51" s="7"/>
      <c r="M51" s="7"/>
      <c r="R51" s="6"/>
      <c r="S51" s="7"/>
      <c r="T51" s="7"/>
      <c r="Z51" s="7"/>
      <c r="AA51" s="7"/>
      <c r="AG51" s="7"/>
      <c r="AH51" s="7"/>
      <c r="AN51" s="7"/>
      <c r="AO51" s="7"/>
      <c r="AU51" s="7"/>
      <c r="AV51" s="7"/>
      <c r="BB51" s="7"/>
      <c r="BC51" s="7"/>
      <c r="BI51" s="7"/>
      <c r="BJ51" s="7"/>
      <c r="BP51" s="7"/>
      <c r="BQ51" s="7"/>
      <c r="BW51" s="7"/>
      <c r="BX51" s="7"/>
    </row>
    <row r="52" ht="15.75" hidden="1" customHeight="1">
      <c r="A52" s="5" t="s">
        <v>410</v>
      </c>
      <c r="B52" s="5" t="s">
        <v>408</v>
      </c>
      <c r="C52" s="5" t="s">
        <v>40</v>
      </c>
      <c r="D52" s="5" t="s">
        <v>381</v>
      </c>
      <c r="E52" s="5" t="s">
        <v>381</v>
      </c>
      <c r="F52" s="5">
        <v>3.4</v>
      </c>
      <c r="L52" s="7"/>
      <c r="M52" s="7"/>
      <c r="R52" s="6"/>
      <c r="S52" s="7"/>
      <c r="T52" s="7"/>
      <c r="Z52" s="7"/>
      <c r="AA52" s="7"/>
      <c r="AG52" s="7"/>
      <c r="AH52" s="7"/>
      <c r="AN52" s="7"/>
      <c r="AO52" s="7"/>
      <c r="AU52" s="7"/>
      <c r="AV52" s="7"/>
      <c r="BB52" s="7"/>
      <c r="BC52" s="7"/>
      <c r="BI52" s="7"/>
      <c r="BJ52" s="7"/>
      <c r="BP52" s="7"/>
      <c r="BQ52" s="7"/>
      <c r="BW52" s="7"/>
      <c r="BX52" s="7"/>
    </row>
    <row r="53" ht="15.75" hidden="1" customHeight="1">
      <c r="A53" s="5" t="s">
        <v>414</v>
      </c>
      <c r="B53" s="5" t="s">
        <v>412</v>
      </c>
      <c r="C53" s="5" t="s">
        <v>44</v>
      </c>
      <c r="D53" s="5" t="s">
        <v>381</v>
      </c>
      <c r="E53" s="5" t="s">
        <v>381</v>
      </c>
      <c r="F53" s="5">
        <v>5.1</v>
      </c>
      <c r="L53" s="7"/>
      <c r="M53" s="7"/>
      <c r="R53" s="6"/>
      <c r="S53" s="7"/>
      <c r="T53" s="7"/>
      <c r="Z53" s="7"/>
      <c r="AA53" s="7"/>
      <c r="AG53" s="7"/>
      <c r="AH53" s="7"/>
      <c r="AN53" s="7"/>
      <c r="AO53" s="7"/>
      <c r="AU53" s="7"/>
      <c r="AV53" s="7"/>
      <c r="BB53" s="7"/>
      <c r="BC53" s="7"/>
      <c r="BI53" s="7"/>
      <c r="BJ53" s="7"/>
      <c r="BP53" s="7"/>
      <c r="BQ53" s="7"/>
      <c r="BW53" s="7"/>
      <c r="BX53" s="7"/>
    </row>
    <row r="54" ht="15.75" hidden="1" customHeight="1">
      <c r="A54" s="5" t="s">
        <v>419</v>
      </c>
      <c r="B54" s="5" t="s">
        <v>416</v>
      </c>
      <c r="C54" s="5" t="s">
        <v>35</v>
      </c>
      <c r="D54" s="5" t="s">
        <v>381</v>
      </c>
      <c r="E54" s="5" t="s">
        <v>418</v>
      </c>
      <c r="F54" s="5">
        <v>2.8</v>
      </c>
      <c r="L54" s="7"/>
      <c r="M54" s="7"/>
      <c r="R54" s="6"/>
      <c r="S54" s="6"/>
      <c r="T54" s="7"/>
      <c r="Z54" s="7"/>
      <c r="AA54" s="7"/>
      <c r="AG54" s="7"/>
      <c r="AH54" s="7"/>
      <c r="AN54" s="7"/>
      <c r="AO54" s="7"/>
      <c r="AU54" s="7"/>
      <c r="AV54" s="7"/>
      <c r="BB54" s="7"/>
      <c r="BC54" s="7"/>
      <c r="BI54" s="7"/>
      <c r="BJ54" s="7"/>
      <c r="BP54" s="7"/>
      <c r="BQ54" s="7"/>
      <c r="BW54" s="7"/>
      <c r="BX54" s="7"/>
    </row>
    <row r="55" ht="15.75" hidden="1" customHeight="1">
      <c r="A55" s="5" t="s">
        <v>423</v>
      </c>
      <c r="B55" s="5" t="s">
        <v>421</v>
      </c>
      <c r="C55" s="5" t="s">
        <v>48</v>
      </c>
      <c r="D55" s="5" t="s">
        <v>381</v>
      </c>
      <c r="E55" s="5" t="s">
        <v>418</v>
      </c>
      <c r="F55" s="5">
        <v>4.9</v>
      </c>
      <c r="L55" s="7"/>
      <c r="M55" s="7"/>
      <c r="R55" s="6"/>
      <c r="S55" s="6"/>
      <c r="T55" s="7"/>
      <c r="Z55" s="7"/>
      <c r="AA55" s="7"/>
      <c r="AG55" s="7"/>
      <c r="AH55" s="7"/>
      <c r="AN55" s="7"/>
      <c r="AO55" s="7"/>
      <c r="AU55" s="7"/>
      <c r="AV55" s="7"/>
      <c r="BB55" s="7"/>
      <c r="BC55" s="7"/>
      <c r="BI55" s="7"/>
      <c r="BJ55" s="7"/>
      <c r="BP55" s="7"/>
      <c r="BQ55" s="7"/>
      <c r="BW55" s="7"/>
      <c r="BX55" s="7"/>
    </row>
    <row r="56" ht="15.75" hidden="1" customHeight="1">
      <c r="A56" s="5" t="s">
        <v>427</v>
      </c>
      <c r="B56" s="5" t="s">
        <v>425</v>
      </c>
      <c r="C56" s="5" t="s">
        <v>44</v>
      </c>
      <c r="D56" s="5" t="s">
        <v>381</v>
      </c>
      <c r="E56" s="5" t="s">
        <v>418</v>
      </c>
      <c r="F56" s="5">
        <v>4.4</v>
      </c>
      <c r="L56" s="7"/>
      <c r="M56" s="7"/>
      <c r="R56" s="6"/>
      <c r="S56" s="6"/>
      <c r="T56" s="7"/>
      <c r="Z56" s="7"/>
      <c r="AA56" s="7"/>
      <c r="AG56" s="7"/>
      <c r="AH56" s="7"/>
      <c r="AN56" s="7"/>
      <c r="AO56" s="7"/>
      <c r="AU56" s="7"/>
      <c r="AV56" s="7"/>
      <c r="BB56" s="7"/>
      <c r="BC56" s="7"/>
      <c r="BI56" s="7"/>
      <c r="BJ56" s="7"/>
      <c r="BP56" s="7"/>
      <c r="BQ56" s="7"/>
      <c r="BW56" s="7"/>
      <c r="BX56" s="7"/>
    </row>
    <row r="57" ht="15.75" hidden="1" customHeight="1">
      <c r="A57" s="5" t="s">
        <v>432</v>
      </c>
      <c r="B57" s="10" t="s">
        <v>429</v>
      </c>
      <c r="C57" s="5" t="s">
        <v>40</v>
      </c>
      <c r="D57" s="5" t="s">
        <v>418</v>
      </c>
      <c r="E57" s="5" t="s">
        <v>418</v>
      </c>
      <c r="F57" s="5">
        <v>1.4</v>
      </c>
      <c r="L57" s="7"/>
      <c r="M57" s="7"/>
      <c r="S57" s="11"/>
      <c r="T57" s="7"/>
      <c r="Z57" s="7"/>
      <c r="AA57" s="7"/>
      <c r="AG57" s="7"/>
      <c r="AH57" s="7"/>
      <c r="AN57" s="7"/>
      <c r="AO57" s="7"/>
      <c r="AU57" s="7"/>
      <c r="AV57" s="7"/>
      <c r="BB57" s="7"/>
      <c r="BC57" s="7"/>
      <c r="BI57" s="7"/>
      <c r="BJ57" s="7"/>
      <c r="BP57" s="7"/>
      <c r="BQ57" s="7"/>
      <c r="BW57" s="7"/>
      <c r="BX57" s="7"/>
    </row>
    <row r="58" ht="15.75" hidden="1" customHeight="1">
      <c r="A58" s="5" t="s">
        <v>436</v>
      </c>
      <c r="B58" s="5" t="s">
        <v>434</v>
      </c>
      <c r="C58" s="5" t="s">
        <v>35</v>
      </c>
      <c r="D58" s="5" t="s">
        <v>418</v>
      </c>
      <c r="E58" s="5" t="s">
        <v>418</v>
      </c>
      <c r="F58" s="5">
        <v>2.3</v>
      </c>
      <c r="L58" s="7"/>
      <c r="M58" s="7"/>
      <c r="S58" s="6"/>
      <c r="T58" s="7"/>
      <c r="Z58" s="7"/>
      <c r="AA58" s="7"/>
      <c r="AG58" s="7"/>
      <c r="AH58" s="7"/>
      <c r="AN58" s="7"/>
      <c r="AO58" s="7"/>
      <c r="AU58" s="7"/>
      <c r="AV58" s="7"/>
      <c r="BB58" s="7"/>
      <c r="BC58" s="7"/>
      <c r="BI58" s="7"/>
      <c r="BJ58" s="7"/>
      <c r="BP58" s="7"/>
      <c r="BQ58" s="7"/>
      <c r="BW58" s="7"/>
      <c r="BX58" s="7"/>
    </row>
    <row r="59" ht="15.75" customHeight="1">
      <c r="A59" s="5" t="s">
        <v>440</v>
      </c>
      <c r="B59" s="5" t="s">
        <v>438</v>
      </c>
      <c r="C59" s="5" t="s">
        <v>30</v>
      </c>
      <c r="D59" s="5" t="s">
        <v>418</v>
      </c>
      <c r="E59" s="5" t="s">
        <v>418</v>
      </c>
      <c r="F59" s="5">
        <v>2.0</v>
      </c>
      <c r="L59" s="7"/>
      <c r="M59" s="7"/>
      <c r="S59" s="6"/>
      <c r="T59" s="7"/>
      <c r="Z59" s="7"/>
      <c r="AA59" s="7"/>
      <c r="AG59" s="7"/>
      <c r="AH59" s="7"/>
      <c r="AN59" s="7"/>
      <c r="AO59" s="7"/>
      <c r="AU59" s="7"/>
      <c r="AV59" s="7"/>
      <c r="BB59" s="7"/>
      <c r="BC59" s="7"/>
      <c r="BI59" s="7"/>
      <c r="BJ59" s="7"/>
      <c r="BP59" s="7"/>
      <c r="BQ59" s="7"/>
      <c r="BW59" s="7"/>
      <c r="BX59" s="7"/>
    </row>
    <row r="60" ht="15.75" hidden="1" customHeight="1">
      <c r="A60" s="5" t="s">
        <v>445</v>
      </c>
      <c r="B60" s="10" t="s">
        <v>442</v>
      </c>
      <c r="C60" s="5" t="s">
        <v>40</v>
      </c>
      <c r="D60" s="5" t="s">
        <v>418</v>
      </c>
      <c r="E60" s="5" t="s">
        <v>444</v>
      </c>
      <c r="F60" s="5">
        <v>1.4</v>
      </c>
      <c r="L60" s="7"/>
      <c r="M60" s="7"/>
      <c r="S60" s="11"/>
      <c r="T60" s="11"/>
      <c r="Z60" s="7"/>
      <c r="AA60" s="7"/>
      <c r="AG60" s="7"/>
      <c r="AH60" s="7"/>
      <c r="AN60" s="7"/>
      <c r="AO60" s="7"/>
      <c r="AU60" s="7"/>
      <c r="AV60" s="7"/>
      <c r="BB60" s="7"/>
      <c r="BC60" s="7"/>
      <c r="BI60" s="7"/>
      <c r="BJ60" s="7"/>
      <c r="BP60" s="7"/>
      <c r="BQ60" s="7"/>
      <c r="BW60" s="7"/>
      <c r="BX60" s="7"/>
    </row>
    <row r="61" ht="15.75" hidden="1" customHeight="1">
      <c r="A61" s="5" t="s">
        <v>449</v>
      </c>
      <c r="B61" s="5" t="s">
        <v>447</v>
      </c>
      <c r="C61" s="5" t="s">
        <v>48</v>
      </c>
      <c r="D61" s="5" t="s">
        <v>418</v>
      </c>
      <c r="E61" s="5" t="s">
        <v>444</v>
      </c>
      <c r="F61" s="5">
        <v>3.9</v>
      </c>
      <c r="L61" s="7"/>
      <c r="M61" s="7"/>
      <c r="S61" s="6"/>
      <c r="T61" s="6"/>
      <c r="Z61" s="7"/>
      <c r="AA61" s="7"/>
      <c r="AG61" s="7"/>
      <c r="AH61" s="7"/>
      <c r="AN61" s="7"/>
      <c r="AO61" s="7"/>
      <c r="AU61" s="7"/>
      <c r="AV61" s="7"/>
      <c r="BB61" s="7"/>
      <c r="BC61" s="7"/>
      <c r="BI61" s="7"/>
      <c r="BJ61" s="7"/>
      <c r="BP61" s="7"/>
      <c r="BQ61" s="7"/>
      <c r="BW61" s="7"/>
      <c r="BX61" s="7"/>
    </row>
    <row r="62" ht="15.75" hidden="1" customHeight="1">
      <c r="A62" s="5" t="s">
        <v>453</v>
      </c>
      <c r="B62" s="5" t="s">
        <v>451</v>
      </c>
      <c r="C62" s="5" t="s">
        <v>44</v>
      </c>
      <c r="D62" s="5" t="s">
        <v>418</v>
      </c>
      <c r="E62" s="5" t="s">
        <v>444</v>
      </c>
      <c r="F62" s="5">
        <v>3.6</v>
      </c>
      <c r="L62" s="7"/>
      <c r="M62" s="7"/>
      <c r="S62" s="6"/>
      <c r="T62" s="6"/>
      <c r="Z62" s="7"/>
      <c r="AA62" s="7"/>
      <c r="AG62" s="7"/>
      <c r="AH62" s="7"/>
      <c r="AN62" s="7"/>
      <c r="AO62" s="7"/>
      <c r="AU62" s="7"/>
      <c r="AV62" s="7"/>
      <c r="BB62" s="7"/>
      <c r="BC62" s="7"/>
      <c r="BI62" s="7"/>
      <c r="BJ62" s="7"/>
      <c r="BP62" s="7"/>
      <c r="BQ62" s="7"/>
      <c r="BW62" s="7"/>
      <c r="BX62" s="7"/>
    </row>
    <row r="63" ht="15.75" hidden="1" customHeight="1">
      <c r="A63" s="5" t="s">
        <v>457</v>
      </c>
      <c r="B63" s="5" t="s">
        <v>455</v>
      </c>
      <c r="C63" s="5" t="s">
        <v>35</v>
      </c>
      <c r="D63" s="5" t="s">
        <v>418</v>
      </c>
      <c r="E63" s="5" t="s">
        <v>444</v>
      </c>
      <c r="F63" s="5">
        <v>1.7</v>
      </c>
      <c r="L63" s="7"/>
      <c r="M63" s="7"/>
      <c r="S63" s="6"/>
      <c r="T63" s="6"/>
      <c r="Z63" s="7"/>
      <c r="AA63" s="7"/>
      <c r="AG63" s="7"/>
      <c r="AH63" s="7"/>
      <c r="AN63" s="7"/>
      <c r="AO63" s="7"/>
      <c r="AU63" s="7"/>
      <c r="AV63" s="7"/>
      <c r="BB63" s="7"/>
      <c r="BC63" s="7"/>
      <c r="BI63" s="7"/>
      <c r="BJ63" s="7"/>
      <c r="BP63" s="7"/>
      <c r="BQ63" s="7"/>
      <c r="BW63" s="7"/>
      <c r="BX63" s="7"/>
    </row>
    <row r="64" ht="15.75" hidden="1" customHeight="1">
      <c r="A64" s="5" t="s">
        <v>461</v>
      </c>
      <c r="B64" s="10" t="s">
        <v>459</v>
      </c>
      <c r="C64" s="5" t="s">
        <v>35</v>
      </c>
      <c r="D64" s="5" t="s">
        <v>444</v>
      </c>
      <c r="E64" s="5" t="s">
        <v>444</v>
      </c>
      <c r="F64" s="5">
        <v>1.0</v>
      </c>
      <c r="L64" s="7"/>
      <c r="M64" s="7"/>
      <c r="S64" s="7"/>
      <c r="T64" s="11"/>
      <c r="Z64" s="7"/>
      <c r="AA64" s="7"/>
      <c r="AG64" s="7"/>
      <c r="AH64" s="7"/>
      <c r="AN64" s="7"/>
      <c r="AO64" s="7"/>
      <c r="AU64" s="7"/>
      <c r="AV64" s="7"/>
      <c r="BB64" s="7"/>
      <c r="BC64" s="7"/>
      <c r="BI64" s="7"/>
      <c r="BJ64" s="7"/>
      <c r="BP64" s="7"/>
      <c r="BQ64" s="7"/>
      <c r="BW64" s="7"/>
      <c r="BX64" s="7"/>
    </row>
    <row r="65" ht="15.75" customHeight="1">
      <c r="A65" s="5" t="s">
        <v>465</v>
      </c>
      <c r="B65" s="5" t="s">
        <v>463</v>
      </c>
      <c r="C65" s="5" t="s">
        <v>30</v>
      </c>
      <c r="D65" s="5" t="s">
        <v>444</v>
      </c>
      <c r="E65" s="5" t="s">
        <v>444</v>
      </c>
      <c r="F65" s="5">
        <v>3.0</v>
      </c>
      <c r="L65" s="7"/>
      <c r="M65" s="7"/>
      <c r="S65" s="7"/>
      <c r="T65" s="6"/>
      <c r="Z65" s="7"/>
      <c r="AA65" s="7"/>
      <c r="AG65" s="7"/>
      <c r="AH65" s="7"/>
      <c r="AN65" s="7"/>
      <c r="AO65" s="7"/>
      <c r="AU65" s="7"/>
      <c r="AV65" s="7"/>
      <c r="BB65" s="7"/>
      <c r="BC65" s="7"/>
      <c r="BI65" s="7"/>
      <c r="BJ65" s="7"/>
      <c r="BP65" s="7"/>
      <c r="BQ65" s="7"/>
      <c r="BW65" s="7"/>
      <c r="BX65" s="7"/>
    </row>
    <row r="66" ht="15.75" hidden="1" customHeight="1">
      <c r="A66" s="5" t="s">
        <v>469</v>
      </c>
      <c r="B66" s="10" t="s">
        <v>467</v>
      </c>
      <c r="C66" s="5" t="s">
        <v>40</v>
      </c>
      <c r="D66" s="5" t="s">
        <v>444</v>
      </c>
      <c r="E66" s="5" t="s">
        <v>319</v>
      </c>
      <c r="F66" s="5">
        <v>0.6</v>
      </c>
      <c r="L66" s="7"/>
      <c r="M66" s="7"/>
      <c r="S66" s="7"/>
      <c r="T66" s="11"/>
      <c r="U66" s="11"/>
      <c r="Z66" s="7"/>
      <c r="AA66" s="7"/>
      <c r="AG66" s="7"/>
      <c r="AH66" s="7"/>
      <c r="AN66" s="7"/>
      <c r="AO66" s="7"/>
      <c r="AU66" s="7"/>
      <c r="AV66" s="7"/>
      <c r="BB66" s="7"/>
      <c r="BC66" s="7"/>
      <c r="BI66" s="7"/>
      <c r="BJ66" s="7"/>
      <c r="BP66" s="7"/>
      <c r="BQ66" s="7"/>
      <c r="BW66" s="7"/>
      <c r="BX66" s="7"/>
    </row>
    <row r="67" ht="15.75" hidden="1" customHeight="1">
      <c r="A67" s="5" t="s">
        <v>473</v>
      </c>
      <c r="B67" s="5" t="s">
        <v>471</v>
      </c>
      <c r="C67" s="5" t="s">
        <v>48</v>
      </c>
      <c r="D67" s="5" t="s">
        <v>444</v>
      </c>
      <c r="E67" s="5" t="s">
        <v>319</v>
      </c>
      <c r="F67" s="5">
        <v>2.9</v>
      </c>
      <c r="L67" s="7"/>
      <c r="M67" s="7"/>
      <c r="S67" s="7"/>
      <c r="T67" s="6"/>
      <c r="U67" s="6"/>
      <c r="Z67" s="7"/>
      <c r="AA67" s="7"/>
      <c r="AG67" s="7"/>
      <c r="AH67" s="7"/>
      <c r="AN67" s="7"/>
      <c r="AO67" s="7"/>
      <c r="AU67" s="7"/>
      <c r="AV67" s="7"/>
      <c r="BB67" s="7"/>
      <c r="BC67" s="7"/>
      <c r="BI67" s="7"/>
      <c r="BJ67" s="7"/>
      <c r="BP67" s="7"/>
      <c r="BQ67" s="7"/>
      <c r="BW67" s="7"/>
      <c r="BX67" s="7"/>
    </row>
    <row r="68" ht="15.75" hidden="1" customHeight="1">
      <c r="A68" s="5" t="s">
        <v>477</v>
      </c>
      <c r="B68" s="5" t="s">
        <v>475</v>
      </c>
      <c r="C68" s="5" t="s">
        <v>44</v>
      </c>
      <c r="D68" s="5" t="s">
        <v>444</v>
      </c>
      <c r="E68" s="5" t="s">
        <v>83</v>
      </c>
      <c r="F68" s="5">
        <v>1.8</v>
      </c>
      <c r="L68" s="7"/>
      <c r="M68" s="7"/>
      <c r="S68" s="7"/>
      <c r="T68" s="6"/>
      <c r="U68" s="6"/>
      <c r="V68" s="6"/>
      <c r="Z68" s="7"/>
      <c r="AA68" s="7"/>
      <c r="AG68" s="7"/>
      <c r="AH68" s="7"/>
      <c r="AN68" s="7"/>
      <c r="AO68" s="7"/>
      <c r="AU68" s="7"/>
      <c r="AV68" s="7"/>
      <c r="BB68" s="7"/>
      <c r="BC68" s="7"/>
      <c r="BI68" s="7"/>
      <c r="BJ68" s="7"/>
      <c r="BP68" s="7"/>
      <c r="BQ68" s="7"/>
      <c r="BW68" s="7"/>
      <c r="BX68" s="7"/>
    </row>
    <row r="69" ht="15.75" hidden="1" customHeight="1">
      <c r="A69" s="5" t="s">
        <v>481</v>
      </c>
      <c r="B69" s="5" t="s">
        <v>479</v>
      </c>
      <c r="C69" s="5" t="s">
        <v>48</v>
      </c>
      <c r="D69" s="5" t="s">
        <v>319</v>
      </c>
      <c r="E69" s="5" t="s">
        <v>319</v>
      </c>
      <c r="F69" s="5">
        <v>2.6</v>
      </c>
      <c r="L69" s="7"/>
      <c r="M69" s="7"/>
      <c r="S69" s="7"/>
      <c r="T69" s="7"/>
      <c r="U69" s="6"/>
      <c r="Z69" s="7"/>
      <c r="AA69" s="7"/>
      <c r="AG69" s="7"/>
      <c r="AH69" s="7"/>
      <c r="AN69" s="7"/>
      <c r="AO69" s="7"/>
      <c r="AU69" s="7"/>
      <c r="AV69" s="7"/>
      <c r="BB69" s="7"/>
      <c r="BC69" s="7"/>
      <c r="BI69" s="7"/>
      <c r="BJ69" s="7"/>
      <c r="BP69" s="7"/>
      <c r="BQ69" s="7"/>
      <c r="BW69" s="7"/>
      <c r="BX69" s="7"/>
    </row>
    <row r="70" ht="15.75" hidden="1" customHeight="1">
      <c r="A70" s="5" t="s">
        <v>485</v>
      </c>
      <c r="B70" s="5" t="s">
        <v>483</v>
      </c>
      <c r="C70" s="5" t="s">
        <v>48</v>
      </c>
      <c r="D70" s="5" t="s">
        <v>319</v>
      </c>
      <c r="E70" s="5" t="s">
        <v>319</v>
      </c>
      <c r="F70" s="5">
        <v>2.3</v>
      </c>
      <c r="L70" s="7"/>
      <c r="M70" s="7"/>
      <c r="S70" s="7"/>
      <c r="T70" s="7"/>
      <c r="U70" s="6"/>
      <c r="Z70" s="7"/>
      <c r="AA70" s="7"/>
      <c r="AG70" s="7"/>
      <c r="AH70" s="7"/>
      <c r="AN70" s="7"/>
      <c r="AO70" s="7"/>
      <c r="AU70" s="7"/>
      <c r="AV70" s="7"/>
      <c r="BB70" s="7"/>
      <c r="BC70" s="7"/>
      <c r="BI70" s="7"/>
      <c r="BJ70" s="7"/>
      <c r="BP70" s="7"/>
      <c r="BQ70" s="7"/>
      <c r="BW70" s="7"/>
      <c r="BX70" s="7"/>
    </row>
    <row r="71" ht="15.75" hidden="1" customHeight="1">
      <c r="A71" s="5" t="s">
        <v>489</v>
      </c>
      <c r="B71" s="5" t="s">
        <v>487</v>
      </c>
      <c r="C71" s="5" t="s">
        <v>48</v>
      </c>
      <c r="D71" s="5" t="s">
        <v>319</v>
      </c>
      <c r="E71" s="5" t="s">
        <v>83</v>
      </c>
      <c r="F71" s="5">
        <v>1.6</v>
      </c>
      <c r="L71" s="7"/>
      <c r="M71" s="7"/>
      <c r="S71" s="7"/>
      <c r="T71" s="7"/>
      <c r="U71" s="6"/>
      <c r="V71" s="6"/>
      <c r="Z71" s="7"/>
      <c r="AA71" s="7"/>
      <c r="AG71" s="7"/>
      <c r="AH71" s="7"/>
      <c r="AN71" s="7"/>
      <c r="AO71" s="7"/>
      <c r="AU71" s="7"/>
      <c r="AV71" s="7"/>
      <c r="BB71" s="7"/>
      <c r="BC71" s="7"/>
      <c r="BI71" s="7"/>
      <c r="BJ71" s="7"/>
      <c r="BP71" s="7"/>
      <c r="BQ71" s="7"/>
      <c r="BW71" s="7"/>
      <c r="BX71" s="7"/>
    </row>
    <row r="72" ht="15.75" customHeight="1">
      <c r="A72" s="5" t="s">
        <v>493</v>
      </c>
      <c r="B72" s="5" t="s">
        <v>491</v>
      </c>
      <c r="C72" s="5" t="s">
        <v>30</v>
      </c>
      <c r="D72" s="5" t="s">
        <v>319</v>
      </c>
      <c r="E72" s="5" t="s">
        <v>83</v>
      </c>
      <c r="F72" s="5">
        <v>4.0</v>
      </c>
      <c r="L72" s="7"/>
      <c r="M72" s="7"/>
      <c r="S72" s="7"/>
      <c r="T72" s="7"/>
      <c r="U72" s="6"/>
      <c r="V72" s="6"/>
      <c r="Z72" s="7"/>
      <c r="AA72" s="7"/>
      <c r="AG72" s="7"/>
      <c r="AH72" s="7"/>
      <c r="AN72" s="7"/>
      <c r="AO72" s="7"/>
      <c r="AU72" s="7"/>
      <c r="AV72" s="7"/>
      <c r="BB72" s="7"/>
      <c r="BC72" s="7"/>
      <c r="BI72" s="7"/>
      <c r="BJ72" s="7"/>
      <c r="BP72" s="7"/>
      <c r="BQ72" s="7"/>
      <c r="BW72" s="7"/>
      <c r="BX72" s="7"/>
    </row>
    <row r="73" ht="15.75" hidden="1" customHeight="1">
      <c r="A73" s="5" t="s">
        <v>498</v>
      </c>
      <c r="B73" s="10" t="s">
        <v>495</v>
      </c>
      <c r="C73" s="5" t="s">
        <v>48</v>
      </c>
      <c r="D73" s="5" t="s">
        <v>83</v>
      </c>
      <c r="E73" s="5" t="s">
        <v>83</v>
      </c>
      <c r="F73" s="5">
        <v>1.0</v>
      </c>
      <c r="L73" s="7"/>
      <c r="M73" s="7"/>
      <c r="S73" s="7"/>
      <c r="T73" s="7"/>
      <c r="V73" s="11"/>
      <c r="Z73" s="7"/>
      <c r="AA73" s="7"/>
      <c r="AG73" s="7"/>
      <c r="AH73" s="7"/>
      <c r="AN73" s="7"/>
      <c r="AO73" s="7"/>
      <c r="AU73" s="7"/>
      <c r="AV73" s="7"/>
      <c r="BB73" s="7"/>
      <c r="BC73" s="7"/>
      <c r="BI73" s="7"/>
      <c r="BJ73" s="7"/>
      <c r="BP73" s="7"/>
      <c r="BQ73" s="7"/>
      <c r="BW73" s="7"/>
      <c r="BX73" s="7"/>
    </row>
    <row r="74" ht="15.75" hidden="1" customHeight="1">
      <c r="A74" s="5" t="s">
        <v>502</v>
      </c>
      <c r="B74" s="10" t="s">
        <v>500</v>
      </c>
      <c r="C74" s="5" t="s">
        <v>44</v>
      </c>
      <c r="D74" s="5" t="s">
        <v>83</v>
      </c>
      <c r="E74" s="5" t="s">
        <v>83</v>
      </c>
      <c r="F74" s="5">
        <v>1.0</v>
      </c>
      <c r="L74" s="7"/>
      <c r="M74" s="7"/>
      <c r="S74" s="7"/>
      <c r="T74" s="7"/>
      <c r="V74" s="11"/>
      <c r="Z74" s="7"/>
      <c r="AA74" s="7"/>
      <c r="AG74" s="7"/>
      <c r="AH74" s="7"/>
      <c r="AN74" s="7"/>
      <c r="AO74" s="7"/>
      <c r="AU74" s="7"/>
      <c r="AV74" s="7"/>
      <c r="BB74" s="7"/>
      <c r="BC74" s="7"/>
      <c r="BI74" s="7"/>
      <c r="BJ74" s="7"/>
      <c r="BP74" s="7"/>
      <c r="BQ74" s="7"/>
      <c r="BW74" s="7"/>
      <c r="BX74" s="7"/>
    </row>
    <row r="75" ht="15.75" hidden="1" customHeight="1">
      <c r="A75" s="5" t="s">
        <v>506</v>
      </c>
      <c r="B75" s="5" t="s">
        <v>504</v>
      </c>
      <c r="C75" s="5" t="s">
        <v>40</v>
      </c>
      <c r="D75" s="5" t="s">
        <v>83</v>
      </c>
      <c r="E75" s="5" t="s">
        <v>83</v>
      </c>
      <c r="F75" s="5">
        <v>54.0</v>
      </c>
      <c r="L75" s="7"/>
      <c r="M75" s="7"/>
      <c r="S75" s="7"/>
      <c r="T75" s="7"/>
      <c r="V75" s="6"/>
      <c r="Z75" s="7"/>
      <c r="AA75" s="7"/>
      <c r="AG75" s="7"/>
      <c r="AH75" s="7"/>
      <c r="AN75" s="7"/>
      <c r="AO75" s="7"/>
      <c r="AU75" s="7"/>
      <c r="AV75" s="7"/>
      <c r="BB75" s="7"/>
      <c r="BC75" s="7"/>
      <c r="BI75" s="7"/>
      <c r="BJ75" s="7"/>
      <c r="BP75" s="7"/>
      <c r="BQ75" s="7"/>
      <c r="BW75" s="7"/>
      <c r="BX75" s="7"/>
    </row>
    <row r="76" ht="15.75" hidden="1" customHeight="1">
      <c r="A76" s="5" t="s">
        <v>512</v>
      </c>
      <c r="B76" s="10" t="s">
        <v>508</v>
      </c>
      <c r="C76" s="5" t="s">
        <v>48</v>
      </c>
      <c r="D76" s="5" t="s">
        <v>83</v>
      </c>
      <c r="E76" s="5" t="s">
        <v>510</v>
      </c>
      <c r="F76" s="5">
        <v>1.0</v>
      </c>
      <c r="L76" s="7"/>
      <c r="M76" s="7"/>
      <c r="S76" s="7"/>
      <c r="T76" s="7"/>
      <c r="V76" s="11"/>
      <c r="W76" s="11"/>
      <c r="Z76" s="7"/>
      <c r="AA76" s="7"/>
      <c r="AG76" s="7"/>
      <c r="AH76" s="7"/>
      <c r="AN76" s="7"/>
      <c r="AO76" s="7"/>
      <c r="AU76" s="7"/>
      <c r="AV76" s="7"/>
      <c r="BB76" s="7"/>
      <c r="BC76" s="7"/>
      <c r="BI76" s="7"/>
      <c r="BJ76" s="7"/>
      <c r="BP76" s="7"/>
      <c r="BQ76" s="7"/>
      <c r="BW76" s="7"/>
      <c r="BX76" s="7"/>
    </row>
    <row r="77" ht="15.75" customHeight="1">
      <c r="A77" s="5" t="s">
        <v>517</v>
      </c>
      <c r="B77" s="10" t="s">
        <v>514</v>
      </c>
      <c r="C77" s="5" t="s">
        <v>30</v>
      </c>
      <c r="D77" s="5" t="s">
        <v>510</v>
      </c>
      <c r="E77" s="5" t="s">
        <v>510</v>
      </c>
      <c r="F77" s="5">
        <v>1.0</v>
      </c>
      <c r="L77" s="7"/>
      <c r="M77" s="7"/>
      <c r="S77" s="7"/>
      <c r="T77" s="7"/>
      <c r="W77" s="11"/>
      <c r="Z77" s="7"/>
      <c r="AA77" s="7"/>
      <c r="AG77" s="7"/>
      <c r="AH77" s="7"/>
      <c r="AN77" s="7"/>
      <c r="AO77" s="7"/>
      <c r="AU77" s="7"/>
      <c r="AV77" s="7"/>
      <c r="BB77" s="7"/>
      <c r="BC77" s="7"/>
      <c r="BI77" s="7"/>
      <c r="BJ77" s="7"/>
      <c r="BP77" s="7"/>
      <c r="BQ77" s="7"/>
      <c r="BW77" s="7"/>
      <c r="BX77" s="7"/>
    </row>
    <row r="78" ht="15.75" hidden="1" customHeight="1">
      <c r="A78" s="5" t="s">
        <v>523</v>
      </c>
      <c r="B78" s="10" t="s">
        <v>519</v>
      </c>
      <c r="C78" s="5" t="s">
        <v>40</v>
      </c>
      <c r="D78" s="5" t="s">
        <v>521</v>
      </c>
      <c r="E78" s="5" t="s">
        <v>522</v>
      </c>
      <c r="F78" s="5">
        <v>1.0</v>
      </c>
      <c r="L78" s="7"/>
      <c r="M78" s="7"/>
      <c r="S78" s="7"/>
      <c r="T78" s="7"/>
      <c r="X78" s="11"/>
      <c r="Y78" s="11"/>
      <c r="Z78" s="7"/>
      <c r="AA78" s="7"/>
      <c r="AG78" s="7"/>
      <c r="AH78" s="7"/>
      <c r="AN78" s="7"/>
      <c r="AO78" s="7"/>
      <c r="AU78" s="7"/>
      <c r="AV78" s="7"/>
      <c r="BB78" s="7"/>
      <c r="BC78" s="7"/>
      <c r="BI78" s="7"/>
      <c r="BJ78" s="7"/>
      <c r="BP78" s="7"/>
      <c r="BQ78" s="7"/>
      <c r="BW78" s="7"/>
      <c r="BX78" s="7"/>
    </row>
    <row r="79" ht="15.75" hidden="1" customHeight="1">
      <c r="A79" s="5" t="s">
        <v>529</v>
      </c>
      <c r="B79" s="10" t="s">
        <v>525</v>
      </c>
      <c r="C79" s="5" t="s">
        <v>35</v>
      </c>
      <c r="D79" s="5" t="s">
        <v>521</v>
      </c>
      <c r="E79" s="5" t="s">
        <v>527</v>
      </c>
      <c r="F79" s="5">
        <v>0.0</v>
      </c>
      <c r="L79" s="7"/>
      <c r="M79" s="7"/>
      <c r="S79" s="7"/>
      <c r="T79" s="7"/>
      <c r="X79" s="11"/>
      <c r="Y79" s="11"/>
      <c r="Z79" s="11"/>
      <c r="AA79" s="7"/>
      <c r="AG79" s="7"/>
      <c r="AH79" s="7"/>
      <c r="AN79" s="7"/>
      <c r="AO79" s="7"/>
      <c r="AU79" s="7"/>
      <c r="AV79" s="7"/>
      <c r="BB79" s="7"/>
      <c r="BC79" s="7"/>
      <c r="BI79" s="7"/>
      <c r="BJ79" s="7"/>
      <c r="BP79" s="7"/>
      <c r="BQ79" s="7"/>
      <c r="BW79" s="7"/>
      <c r="BX79" s="7"/>
    </row>
    <row r="80" ht="15.75" hidden="1" customHeight="1">
      <c r="A80" s="5" t="s">
        <v>531</v>
      </c>
      <c r="B80" s="10" t="s">
        <v>525</v>
      </c>
      <c r="C80" s="5" t="s">
        <v>40</v>
      </c>
      <c r="D80" s="5" t="s">
        <v>521</v>
      </c>
      <c r="E80" s="5" t="s">
        <v>527</v>
      </c>
      <c r="F80" s="5">
        <v>0.0</v>
      </c>
      <c r="L80" s="7"/>
      <c r="M80" s="7"/>
      <c r="S80" s="7"/>
      <c r="T80" s="7"/>
      <c r="X80" s="11"/>
      <c r="Y80" s="11"/>
      <c r="Z80" s="11"/>
      <c r="AA80" s="7"/>
      <c r="AG80" s="7"/>
      <c r="AH80" s="7"/>
      <c r="AN80" s="7"/>
      <c r="AO80" s="7"/>
      <c r="AU80" s="7"/>
      <c r="AV80" s="7"/>
      <c r="BB80" s="7"/>
      <c r="BC80" s="7"/>
      <c r="BI80" s="7"/>
      <c r="BJ80" s="7"/>
      <c r="BP80" s="7"/>
      <c r="BQ80" s="7"/>
      <c r="BW80" s="7"/>
      <c r="BX80" s="7"/>
    </row>
    <row r="81" ht="15.75" hidden="1" customHeight="1">
      <c r="A81" s="5" t="s">
        <v>534</v>
      </c>
      <c r="B81" s="10" t="s">
        <v>533</v>
      </c>
      <c r="C81" s="5" t="s">
        <v>44</v>
      </c>
      <c r="D81" s="5" t="s">
        <v>521</v>
      </c>
      <c r="E81" s="5" t="s">
        <v>527</v>
      </c>
      <c r="F81" s="5">
        <v>0.0</v>
      </c>
      <c r="L81" s="7"/>
      <c r="M81" s="7"/>
      <c r="S81" s="7"/>
      <c r="T81" s="7"/>
      <c r="X81" s="11"/>
      <c r="Y81" s="11"/>
      <c r="Z81" s="11"/>
      <c r="AA81" s="7"/>
      <c r="AG81" s="7"/>
      <c r="AH81" s="7"/>
      <c r="AN81" s="7"/>
      <c r="AO81" s="7"/>
      <c r="AU81" s="7"/>
      <c r="AV81" s="7"/>
      <c r="BB81" s="7"/>
      <c r="BC81" s="7"/>
      <c r="BI81" s="7"/>
      <c r="BJ81" s="7"/>
      <c r="BP81" s="7"/>
      <c r="BQ81" s="7"/>
      <c r="BW81" s="7"/>
      <c r="BX81" s="7"/>
    </row>
    <row r="82" ht="15.75" hidden="1" customHeight="1">
      <c r="A82" s="5" t="s">
        <v>536</v>
      </c>
      <c r="B82" s="10" t="s">
        <v>533</v>
      </c>
      <c r="C82" s="5" t="s">
        <v>48</v>
      </c>
      <c r="D82" s="5" t="s">
        <v>521</v>
      </c>
      <c r="E82" s="5" t="s">
        <v>527</v>
      </c>
      <c r="F82" s="5">
        <v>0.0</v>
      </c>
      <c r="L82" s="7"/>
      <c r="M82" s="7"/>
      <c r="S82" s="7"/>
      <c r="T82" s="7"/>
      <c r="X82" s="11"/>
      <c r="Y82" s="11"/>
      <c r="Z82" s="11"/>
      <c r="AA82" s="7"/>
      <c r="AG82" s="7"/>
      <c r="AH82" s="7"/>
      <c r="AN82" s="7"/>
      <c r="AO82" s="7"/>
      <c r="AU82" s="7"/>
      <c r="AV82" s="7"/>
      <c r="BB82" s="7"/>
      <c r="BC82" s="7"/>
      <c r="BI82" s="7"/>
      <c r="BJ82" s="7"/>
      <c r="BP82" s="7"/>
      <c r="BQ82" s="7"/>
      <c r="BW82" s="7"/>
      <c r="BX82" s="7"/>
    </row>
    <row r="83" ht="15.75" customHeight="1">
      <c r="A83" s="5" t="s">
        <v>539</v>
      </c>
      <c r="B83" s="10" t="s">
        <v>538</v>
      </c>
      <c r="C83" s="5" t="s">
        <v>30</v>
      </c>
      <c r="D83" s="5" t="s">
        <v>521</v>
      </c>
      <c r="E83" s="5" t="s">
        <v>527</v>
      </c>
      <c r="F83" s="5">
        <v>0.0</v>
      </c>
      <c r="L83" s="7"/>
      <c r="M83" s="7"/>
      <c r="S83" s="7"/>
      <c r="T83" s="7"/>
      <c r="X83" s="11"/>
      <c r="Y83" s="11"/>
      <c r="Z83" s="11"/>
      <c r="AA83" s="7"/>
      <c r="AG83" s="7"/>
      <c r="AH83" s="7"/>
      <c r="AN83" s="7"/>
      <c r="AO83" s="7"/>
      <c r="AU83" s="7"/>
      <c r="AV83" s="7"/>
      <c r="BB83" s="7"/>
      <c r="BC83" s="7"/>
      <c r="BI83" s="7"/>
      <c r="BJ83" s="7"/>
      <c r="BP83" s="7"/>
      <c r="BQ83" s="7"/>
      <c r="BW83" s="7"/>
      <c r="BX83" s="7"/>
    </row>
    <row r="84" ht="15.75" hidden="1" customHeight="1">
      <c r="A84" s="5" t="s">
        <v>543</v>
      </c>
      <c r="B84" s="5" t="s">
        <v>541</v>
      </c>
      <c r="C84" s="5" t="s">
        <v>48</v>
      </c>
      <c r="D84" s="5" t="s">
        <v>521</v>
      </c>
      <c r="E84" s="5" t="s">
        <v>80</v>
      </c>
      <c r="F84" s="5">
        <v>8.5</v>
      </c>
      <c r="L84" s="7"/>
      <c r="M84" s="7"/>
      <c r="S84" s="7"/>
      <c r="T84" s="7"/>
      <c r="X84" s="6"/>
      <c r="Y84" s="6"/>
      <c r="Z84" s="6"/>
      <c r="AA84" s="6"/>
      <c r="AG84" s="7"/>
      <c r="AH84" s="7"/>
      <c r="AN84" s="7"/>
      <c r="AO84" s="7"/>
      <c r="AU84" s="7"/>
      <c r="AV84" s="7"/>
      <c r="BB84" s="7"/>
      <c r="BC84" s="7"/>
      <c r="BI84" s="7"/>
      <c r="BJ84" s="7"/>
      <c r="BP84" s="7"/>
      <c r="BQ84" s="7"/>
      <c r="BW84" s="7"/>
      <c r="BX84" s="7"/>
    </row>
    <row r="85" ht="15.75" customHeight="1">
      <c r="A85" s="5" t="s">
        <v>546</v>
      </c>
      <c r="B85" s="5" t="s">
        <v>545</v>
      </c>
      <c r="C85" s="5" t="s">
        <v>30</v>
      </c>
      <c r="D85" s="5" t="s">
        <v>522</v>
      </c>
      <c r="E85" s="5" t="s">
        <v>527</v>
      </c>
      <c r="F85" s="5">
        <v>50.0</v>
      </c>
      <c r="L85" s="7"/>
      <c r="M85" s="7"/>
      <c r="S85" s="7"/>
      <c r="T85" s="7"/>
      <c r="Y85" s="6"/>
      <c r="Z85" s="6"/>
      <c r="AA85" s="7"/>
      <c r="AG85" s="7"/>
      <c r="AH85" s="7"/>
      <c r="AN85" s="7"/>
      <c r="AO85" s="7"/>
      <c r="AU85" s="7"/>
      <c r="AV85" s="7"/>
      <c r="BB85" s="7"/>
      <c r="BC85" s="7"/>
      <c r="BI85" s="7"/>
      <c r="BJ85" s="7"/>
      <c r="BP85" s="7"/>
      <c r="BQ85" s="7"/>
      <c r="BW85" s="7"/>
      <c r="BX85" s="7"/>
    </row>
    <row r="86" ht="15.75" customHeight="1">
      <c r="A86" s="5" t="s">
        <v>550</v>
      </c>
      <c r="B86" s="10" t="s">
        <v>548</v>
      </c>
      <c r="C86" s="5" t="s">
        <v>30</v>
      </c>
      <c r="D86" s="5" t="s">
        <v>80</v>
      </c>
      <c r="E86" s="5" t="s">
        <v>80</v>
      </c>
      <c r="F86" s="5">
        <v>0.0</v>
      </c>
      <c r="L86" s="7"/>
      <c r="M86" s="7"/>
      <c r="S86" s="7"/>
      <c r="T86" s="7"/>
      <c r="Z86" s="7"/>
      <c r="AA86" s="11"/>
      <c r="AG86" s="7"/>
      <c r="AH86" s="7"/>
      <c r="AN86" s="7"/>
      <c r="AO86" s="7"/>
      <c r="AU86" s="7"/>
      <c r="AV86" s="7"/>
      <c r="BB86" s="7"/>
      <c r="BC86" s="7"/>
      <c r="BI86" s="7"/>
      <c r="BJ86" s="7"/>
      <c r="BP86" s="7"/>
      <c r="BQ86" s="7"/>
      <c r="BW86" s="7"/>
      <c r="BX86" s="7"/>
    </row>
    <row r="87" ht="15.75" hidden="1" customHeight="1">
      <c r="A87" s="5" t="s">
        <v>556</v>
      </c>
      <c r="B87" s="5" t="s">
        <v>552</v>
      </c>
      <c r="C87" s="5" t="s">
        <v>40</v>
      </c>
      <c r="D87" s="5" t="s">
        <v>101</v>
      </c>
      <c r="E87" s="5" t="s">
        <v>101</v>
      </c>
      <c r="F87" s="5">
        <v>7.5</v>
      </c>
      <c r="L87" s="7"/>
      <c r="M87" s="7"/>
      <c r="S87" s="7"/>
      <c r="T87" s="7"/>
      <c r="Z87" s="7"/>
      <c r="AA87" s="7"/>
      <c r="AB87" s="6"/>
      <c r="AG87" s="7"/>
      <c r="AH87" s="7"/>
      <c r="AN87" s="7"/>
      <c r="AO87" s="7"/>
      <c r="AU87" s="7"/>
      <c r="AV87" s="7"/>
      <c r="BB87" s="7"/>
      <c r="BC87" s="7"/>
      <c r="BI87" s="7"/>
      <c r="BJ87" s="7"/>
      <c r="BP87" s="7"/>
      <c r="BQ87" s="7"/>
      <c r="BW87" s="7"/>
      <c r="BX87" s="7"/>
    </row>
    <row r="88" ht="15.75" hidden="1" customHeight="1">
      <c r="A88" s="5" t="s">
        <v>561</v>
      </c>
      <c r="B88" s="5" t="s">
        <v>558</v>
      </c>
      <c r="C88" s="5" t="s">
        <v>48</v>
      </c>
      <c r="D88" s="5" t="s">
        <v>101</v>
      </c>
      <c r="E88" s="5" t="s">
        <v>101</v>
      </c>
      <c r="F88" s="5">
        <v>9.3</v>
      </c>
      <c r="L88" s="7"/>
      <c r="M88" s="7"/>
      <c r="S88" s="7"/>
      <c r="T88" s="7"/>
      <c r="Z88" s="7"/>
      <c r="AA88" s="7"/>
      <c r="AB88" s="6"/>
      <c r="AG88" s="7"/>
      <c r="AH88" s="7"/>
      <c r="AN88" s="7"/>
      <c r="AO88" s="7"/>
      <c r="AU88" s="7"/>
      <c r="AV88" s="7"/>
      <c r="BB88" s="7"/>
      <c r="BC88" s="7"/>
      <c r="BI88" s="7"/>
      <c r="BJ88" s="7"/>
      <c r="BP88" s="7"/>
      <c r="BQ88" s="7"/>
      <c r="BW88" s="7"/>
      <c r="BX88" s="7"/>
    </row>
    <row r="89" ht="15.75" hidden="1" customHeight="1">
      <c r="A89" s="5" t="s">
        <v>565</v>
      </c>
      <c r="B89" s="5" t="s">
        <v>563</v>
      </c>
      <c r="C89" s="5" t="s">
        <v>40</v>
      </c>
      <c r="D89" s="5" t="s">
        <v>101</v>
      </c>
      <c r="E89" s="5" t="s">
        <v>101</v>
      </c>
      <c r="F89" s="5">
        <v>7.3</v>
      </c>
      <c r="L89" s="7"/>
      <c r="M89" s="7"/>
      <c r="S89" s="7"/>
      <c r="T89" s="7"/>
      <c r="Z89" s="7"/>
      <c r="AA89" s="7"/>
      <c r="AB89" s="6"/>
      <c r="AG89" s="7"/>
      <c r="AH89" s="7"/>
      <c r="AN89" s="7"/>
      <c r="AO89" s="7"/>
      <c r="AU89" s="7"/>
      <c r="AV89" s="7"/>
      <c r="BB89" s="7"/>
      <c r="BC89" s="7"/>
      <c r="BI89" s="7"/>
      <c r="BJ89" s="7"/>
      <c r="BP89" s="7"/>
      <c r="BQ89" s="7"/>
      <c r="BW89" s="7"/>
      <c r="BX89" s="7"/>
    </row>
    <row r="90" ht="15.75" customHeight="1">
      <c r="A90" s="5" t="s">
        <v>569</v>
      </c>
      <c r="B90" s="5" t="s">
        <v>567</v>
      </c>
      <c r="C90" s="5" t="s">
        <v>30</v>
      </c>
      <c r="D90" s="5" t="s">
        <v>101</v>
      </c>
      <c r="E90" s="5" t="s">
        <v>101</v>
      </c>
      <c r="F90" s="5">
        <v>6.3</v>
      </c>
      <c r="L90" s="7"/>
      <c r="M90" s="7"/>
      <c r="S90" s="7"/>
      <c r="T90" s="7"/>
      <c r="Z90" s="7"/>
      <c r="AA90" s="7"/>
      <c r="AB90" s="6"/>
      <c r="AG90" s="7"/>
      <c r="AH90" s="7"/>
      <c r="AN90" s="7"/>
      <c r="AO90" s="7"/>
      <c r="AU90" s="7"/>
      <c r="AV90" s="7"/>
      <c r="BB90" s="7"/>
      <c r="BC90" s="7"/>
      <c r="BI90" s="7"/>
      <c r="BJ90" s="7"/>
      <c r="BP90" s="7"/>
      <c r="BQ90" s="7"/>
      <c r="BW90" s="7"/>
      <c r="BX90" s="7"/>
    </row>
    <row r="91" ht="15.75" hidden="1" customHeight="1">
      <c r="A91" s="5" t="s">
        <v>573</v>
      </c>
      <c r="B91" s="5" t="s">
        <v>571</v>
      </c>
      <c r="C91" s="5" t="s">
        <v>48</v>
      </c>
      <c r="D91" s="5" t="s">
        <v>101</v>
      </c>
      <c r="E91" s="5" t="s">
        <v>103</v>
      </c>
      <c r="F91" s="5">
        <v>8.9</v>
      </c>
      <c r="L91" s="7"/>
      <c r="M91" s="7"/>
      <c r="S91" s="7"/>
      <c r="T91" s="7"/>
      <c r="Z91" s="7"/>
      <c r="AA91" s="7"/>
      <c r="AB91" s="6"/>
      <c r="AC91" s="6"/>
      <c r="AG91" s="7"/>
      <c r="AH91" s="7"/>
      <c r="AN91" s="7"/>
      <c r="AO91" s="7"/>
      <c r="AU91" s="7"/>
      <c r="AV91" s="7"/>
      <c r="BB91" s="7"/>
      <c r="BC91" s="7"/>
      <c r="BI91" s="7"/>
      <c r="BJ91" s="7"/>
      <c r="BP91" s="7"/>
      <c r="BQ91" s="7"/>
      <c r="BW91" s="7"/>
      <c r="BX91" s="7"/>
    </row>
    <row r="92" ht="15.75" hidden="1" customHeight="1">
      <c r="A92" s="5" t="s">
        <v>577</v>
      </c>
      <c r="B92" s="5" t="s">
        <v>575</v>
      </c>
      <c r="C92" s="5" t="s">
        <v>35</v>
      </c>
      <c r="D92" s="5" t="s">
        <v>101</v>
      </c>
      <c r="E92" s="5" t="s">
        <v>103</v>
      </c>
      <c r="F92" s="5">
        <v>3.9</v>
      </c>
      <c r="L92" s="7"/>
      <c r="M92" s="7"/>
      <c r="S92" s="7"/>
      <c r="T92" s="7"/>
      <c r="Z92" s="7"/>
      <c r="AA92" s="7"/>
      <c r="AB92" s="6"/>
      <c r="AC92" s="6"/>
      <c r="AG92" s="7"/>
      <c r="AH92" s="7"/>
      <c r="AN92" s="7"/>
      <c r="AO92" s="7"/>
      <c r="AU92" s="7"/>
      <c r="AV92" s="7"/>
      <c r="BB92" s="7"/>
      <c r="BC92" s="7"/>
      <c r="BI92" s="7"/>
      <c r="BJ92" s="7"/>
      <c r="BP92" s="7"/>
      <c r="BQ92" s="7"/>
      <c r="BW92" s="7"/>
      <c r="BX92" s="7"/>
    </row>
    <row r="93" ht="15.75" hidden="1" customHeight="1">
      <c r="A93" s="5" t="s">
        <v>581</v>
      </c>
      <c r="B93" s="5" t="s">
        <v>579</v>
      </c>
      <c r="C93" s="5" t="s">
        <v>44</v>
      </c>
      <c r="D93" s="5" t="s">
        <v>101</v>
      </c>
      <c r="E93" s="5" t="s">
        <v>103</v>
      </c>
      <c r="F93" s="5">
        <v>8.5</v>
      </c>
      <c r="L93" s="7"/>
      <c r="M93" s="7"/>
      <c r="S93" s="7"/>
      <c r="T93" s="7"/>
      <c r="Z93" s="7"/>
      <c r="AA93" s="7"/>
      <c r="AB93" s="6"/>
      <c r="AC93" s="6"/>
      <c r="AG93" s="7"/>
      <c r="AH93" s="7"/>
      <c r="AN93" s="7"/>
      <c r="AO93" s="7"/>
      <c r="AU93" s="7"/>
      <c r="AV93" s="7"/>
      <c r="BB93" s="7"/>
      <c r="BC93" s="7"/>
      <c r="BI93" s="7"/>
      <c r="BJ93" s="7"/>
      <c r="BP93" s="7"/>
      <c r="BQ93" s="7"/>
      <c r="BW93" s="7"/>
      <c r="BX93" s="7"/>
    </row>
    <row r="94" ht="15.75" hidden="1" customHeight="1">
      <c r="A94" s="5" t="s">
        <v>585</v>
      </c>
      <c r="B94" s="5" t="s">
        <v>583</v>
      </c>
      <c r="C94" s="5" t="s">
        <v>40</v>
      </c>
      <c r="D94" s="5" t="s">
        <v>101</v>
      </c>
      <c r="E94" s="5" t="s">
        <v>103</v>
      </c>
      <c r="F94" s="5">
        <v>6.0</v>
      </c>
      <c r="L94" s="7"/>
      <c r="M94" s="7"/>
      <c r="S94" s="7"/>
      <c r="T94" s="7"/>
      <c r="Z94" s="7"/>
      <c r="AA94" s="7"/>
      <c r="AB94" s="6"/>
      <c r="AC94" s="6"/>
      <c r="AG94" s="7"/>
      <c r="AH94" s="7"/>
      <c r="AN94" s="7"/>
      <c r="AO94" s="7"/>
      <c r="AU94" s="7"/>
      <c r="AV94" s="7"/>
      <c r="BB94" s="7"/>
      <c r="BC94" s="7"/>
      <c r="BI94" s="7"/>
      <c r="BJ94" s="7"/>
      <c r="BP94" s="7"/>
      <c r="BQ94" s="7"/>
      <c r="BW94" s="7"/>
      <c r="BX94" s="7"/>
    </row>
    <row r="95" ht="15.75" hidden="1" customHeight="1">
      <c r="A95" s="5" t="s">
        <v>589</v>
      </c>
      <c r="B95" s="5" t="s">
        <v>587</v>
      </c>
      <c r="C95" s="5" t="s">
        <v>40</v>
      </c>
      <c r="D95" s="5" t="s">
        <v>103</v>
      </c>
      <c r="E95" s="5" t="s">
        <v>103</v>
      </c>
      <c r="F95" s="5">
        <v>6.1</v>
      </c>
      <c r="L95" s="7"/>
      <c r="M95" s="7"/>
      <c r="S95" s="7"/>
      <c r="T95" s="7"/>
      <c r="Z95" s="7"/>
      <c r="AA95" s="7"/>
      <c r="AC95" s="6"/>
      <c r="AG95" s="7"/>
      <c r="AH95" s="7"/>
      <c r="AN95" s="7"/>
      <c r="AO95" s="7"/>
      <c r="AU95" s="7"/>
      <c r="AV95" s="7"/>
      <c r="BB95" s="7"/>
      <c r="BC95" s="7"/>
      <c r="BI95" s="7"/>
      <c r="BJ95" s="7"/>
      <c r="BP95" s="7"/>
      <c r="BQ95" s="7"/>
      <c r="BW95" s="7"/>
      <c r="BX95" s="7"/>
    </row>
    <row r="96" ht="15.75" customHeight="1">
      <c r="A96" s="5" t="s">
        <v>593</v>
      </c>
      <c r="B96" s="5" t="s">
        <v>591</v>
      </c>
      <c r="C96" s="5" t="s">
        <v>30</v>
      </c>
      <c r="D96" s="5" t="s">
        <v>103</v>
      </c>
      <c r="E96" s="5" t="s">
        <v>103</v>
      </c>
      <c r="F96" s="5">
        <v>6.3</v>
      </c>
      <c r="L96" s="7"/>
      <c r="M96" s="7"/>
      <c r="S96" s="7"/>
      <c r="T96" s="7"/>
      <c r="Z96" s="7"/>
      <c r="AA96" s="7"/>
      <c r="AC96" s="6"/>
      <c r="AG96" s="7"/>
      <c r="AH96" s="7"/>
      <c r="AN96" s="7"/>
      <c r="AO96" s="7"/>
      <c r="AU96" s="7"/>
      <c r="AV96" s="7"/>
      <c r="BB96" s="7"/>
      <c r="BC96" s="7"/>
      <c r="BI96" s="7"/>
      <c r="BJ96" s="7"/>
      <c r="BP96" s="7"/>
      <c r="BQ96" s="7"/>
      <c r="BW96" s="7"/>
      <c r="BX96" s="7"/>
    </row>
    <row r="97" ht="15.75" hidden="1" customHeight="1">
      <c r="A97" s="5" t="s">
        <v>598</v>
      </c>
      <c r="B97" s="5" t="s">
        <v>595</v>
      </c>
      <c r="C97" s="5" t="s">
        <v>35</v>
      </c>
      <c r="D97" s="5" t="s">
        <v>103</v>
      </c>
      <c r="E97" s="5" t="s">
        <v>597</v>
      </c>
      <c r="F97" s="5">
        <v>6.0</v>
      </c>
      <c r="L97" s="7"/>
      <c r="M97" s="7"/>
      <c r="S97" s="7"/>
      <c r="T97" s="7"/>
      <c r="Z97" s="7"/>
      <c r="AA97" s="7"/>
      <c r="AC97" s="6"/>
      <c r="AD97" s="6"/>
      <c r="AG97" s="7"/>
      <c r="AH97" s="7"/>
      <c r="AN97" s="7"/>
      <c r="AO97" s="7"/>
      <c r="AU97" s="7"/>
      <c r="AV97" s="7"/>
      <c r="BB97" s="7"/>
      <c r="BC97" s="7"/>
      <c r="BI97" s="7"/>
      <c r="BJ97" s="7"/>
      <c r="BP97" s="7"/>
      <c r="BQ97" s="7"/>
      <c r="BW97" s="7"/>
      <c r="BX97" s="7"/>
    </row>
    <row r="98" ht="15.75" hidden="1" customHeight="1">
      <c r="A98" s="5" t="s">
        <v>602</v>
      </c>
      <c r="B98" s="5" t="s">
        <v>600</v>
      </c>
      <c r="C98" s="5" t="s">
        <v>44</v>
      </c>
      <c r="D98" s="5" t="s">
        <v>103</v>
      </c>
      <c r="E98" s="5" t="s">
        <v>597</v>
      </c>
      <c r="F98" s="5">
        <v>8.0</v>
      </c>
      <c r="L98" s="7"/>
      <c r="M98" s="7"/>
      <c r="S98" s="7"/>
      <c r="T98" s="7"/>
      <c r="Z98" s="7"/>
      <c r="AA98" s="7"/>
      <c r="AC98" s="6"/>
      <c r="AD98" s="6"/>
      <c r="AG98" s="7"/>
      <c r="AH98" s="7"/>
      <c r="AN98" s="7"/>
      <c r="AO98" s="7"/>
      <c r="AU98" s="7"/>
      <c r="AV98" s="7"/>
      <c r="BB98" s="7"/>
      <c r="BC98" s="7"/>
      <c r="BI98" s="7"/>
      <c r="BJ98" s="7"/>
      <c r="BP98" s="7"/>
      <c r="BQ98" s="7"/>
      <c r="BW98" s="7"/>
      <c r="BX98" s="7"/>
    </row>
    <row r="99" ht="15.75" hidden="1" customHeight="1">
      <c r="A99" s="5" t="s">
        <v>606</v>
      </c>
      <c r="B99" s="5" t="s">
        <v>604</v>
      </c>
      <c r="C99" s="5" t="s">
        <v>40</v>
      </c>
      <c r="D99" s="5" t="s">
        <v>103</v>
      </c>
      <c r="E99" s="5" t="s">
        <v>597</v>
      </c>
      <c r="F99" s="5">
        <v>5.6</v>
      </c>
      <c r="L99" s="7"/>
      <c r="M99" s="7"/>
      <c r="S99" s="7"/>
      <c r="T99" s="7"/>
      <c r="Z99" s="7"/>
      <c r="AA99" s="7"/>
      <c r="AC99" s="6"/>
      <c r="AD99" s="6"/>
      <c r="AG99" s="7"/>
      <c r="AH99" s="7"/>
      <c r="AN99" s="7"/>
      <c r="AO99" s="7"/>
      <c r="AU99" s="7"/>
      <c r="AV99" s="7"/>
      <c r="BB99" s="7"/>
      <c r="BC99" s="7"/>
      <c r="BI99" s="7"/>
      <c r="BJ99" s="7"/>
      <c r="BP99" s="7"/>
      <c r="BQ99" s="7"/>
      <c r="BW99" s="7"/>
      <c r="BX99" s="7"/>
    </row>
    <row r="100" ht="15.75" hidden="1" customHeight="1">
      <c r="A100" s="5" t="s">
        <v>610</v>
      </c>
      <c r="B100" s="5" t="s">
        <v>608</v>
      </c>
      <c r="C100" s="5" t="s">
        <v>48</v>
      </c>
      <c r="D100" s="5" t="s">
        <v>103</v>
      </c>
      <c r="E100" s="5" t="s">
        <v>597</v>
      </c>
      <c r="F100" s="5">
        <v>7.8</v>
      </c>
      <c r="L100" s="7"/>
      <c r="M100" s="7"/>
      <c r="S100" s="7"/>
      <c r="T100" s="7"/>
      <c r="Z100" s="7"/>
      <c r="AA100" s="7"/>
      <c r="AC100" s="6"/>
      <c r="AD100" s="6"/>
      <c r="AG100" s="7"/>
      <c r="AH100" s="7"/>
      <c r="AN100" s="7"/>
      <c r="AO100" s="7"/>
      <c r="AU100" s="7"/>
      <c r="AV100" s="7"/>
      <c r="BB100" s="7"/>
      <c r="BC100" s="7"/>
      <c r="BI100" s="7"/>
      <c r="BJ100" s="7"/>
      <c r="BP100" s="7"/>
      <c r="BQ100" s="7"/>
      <c r="BW100" s="7"/>
      <c r="BX100" s="7"/>
    </row>
    <row r="101" ht="15.75" customHeight="1">
      <c r="A101" s="5" t="s">
        <v>613</v>
      </c>
      <c r="B101" s="5" t="s">
        <v>612</v>
      </c>
      <c r="C101" s="5" t="s">
        <v>30</v>
      </c>
      <c r="D101" s="5" t="s">
        <v>103</v>
      </c>
      <c r="E101" s="5" t="s">
        <v>597</v>
      </c>
      <c r="F101" s="5">
        <v>46.0</v>
      </c>
      <c r="L101" s="7"/>
      <c r="M101" s="7"/>
      <c r="S101" s="7"/>
      <c r="T101" s="7"/>
      <c r="Z101" s="7"/>
      <c r="AA101" s="7"/>
      <c r="AC101" s="6"/>
      <c r="AD101" s="6"/>
      <c r="AG101" s="7"/>
      <c r="AH101" s="7"/>
      <c r="AN101" s="7"/>
      <c r="AO101" s="7"/>
      <c r="AU101" s="7"/>
      <c r="AV101" s="7"/>
      <c r="BB101" s="7"/>
      <c r="BC101" s="7"/>
      <c r="BI101" s="7"/>
      <c r="BJ101" s="7"/>
      <c r="BP101" s="7"/>
      <c r="BQ101" s="7"/>
      <c r="BW101" s="7"/>
      <c r="BX101" s="7"/>
    </row>
    <row r="102" ht="15.75" hidden="1" customHeight="1">
      <c r="A102" s="5" t="s">
        <v>617</v>
      </c>
      <c r="B102" s="5" t="s">
        <v>615</v>
      </c>
      <c r="C102" s="5" t="s">
        <v>35</v>
      </c>
      <c r="D102" s="5" t="s">
        <v>597</v>
      </c>
      <c r="E102" s="5" t="s">
        <v>597</v>
      </c>
      <c r="F102" s="5">
        <v>5.1</v>
      </c>
      <c r="L102" s="7"/>
      <c r="M102" s="7"/>
      <c r="S102" s="7"/>
      <c r="T102" s="7"/>
      <c r="Z102" s="7"/>
      <c r="AA102" s="7"/>
      <c r="AD102" s="6"/>
      <c r="AG102" s="7"/>
      <c r="AH102" s="7"/>
      <c r="AN102" s="7"/>
      <c r="AO102" s="7"/>
      <c r="AU102" s="7"/>
      <c r="AV102" s="7"/>
      <c r="BB102" s="7"/>
      <c r="BC102" s="7"/>
      <c r="BI102" s="7"/>
      <c r="BJ102" s="7"/>
      <c r="BP102" s="7"/>
      <c r="BQ102" s="7"/>
      <c r="BW102" s="7"/>
      <c r="BX102" s="7"/>
    </row>
    <row r="103" ht="15.75" hidden="1" customHeight="1">
      <c r="A103" s="5" t="s">
        <v>621</v>
      </c>
      <c r="B103" s="5" t="s">
        <v>619</v>
      </c>
      <c r="C103" s="5" t="s">
        <v>44</v>
      </c>
      <c r="D103" s="5" t="s">
        <v>597</v>
      </c>
      <c r="E103" s="5" t="s">
        <v>597</v>
      </c>
      <c r="F103" s="5">
        <v>7.1</v>
      </c>
      <c r="L103" s="7"/>
      <c r="M103" s="7"/>
      <c r="S103" s="7"/>
      <c r="T103" s="7"/>
      <c r="Z103" s="7"/>
      <c r="AA103" s="7"/>
      <c r="AD103" s="6"/>
      <c r="AG103" s="7"/>
      <c r="AH103" s="7"/>
      <c r="AN103" s="7"/>
      <c r="AO103" s="7"/>
      <c r="AU103" s="7"/>
      <c r="AV103" s="7"/>
      <c r="BB103" s="7"/>
      <c r="BC103" s="7"/>
      <c r="BI103" s="7"/>
      <c r="BJ103" s="7"/>
      <c r="BP103" s="7"/>
      <c r="BQ103" s="7"/>
      <c r="BW103" s="7"/>
      <c r="BX103" s="7"/>
    </row>
    <row r="104" ht="15.75" hidden="1" customHeight="1">
      <c r="A104" s="5" t="s">
        <v>625</v>
      </c>
      <c r="B104" s="5" t="s">
        <v>623</v>
      </c>
      <c r="C104" s="5" t="s">
        <v>48</v>
      </c>
      <c r="D104" s="5" t="s">
        <v>597</v>
      </c>
      <c r="E104" s="5" t="s">
        <v>597</v>
      </c>
      <c r="F104" s="5">
        <v>7.1</v>
      </c>
      <c r="L104" s="7"/>
      <c r="M104" s="7"/>
      <c r="S104" s="7"/>
      <c r="T104" s="7"/>
      <c r="Z104" s="7"/>
      <c r="AA104" s="7"/>
      <c r="AD104" s="6"/>
      <c r="AG104" s="7"/>
      <c r="AH104" s="7"/>
      <c r="AN104" s="7"/>
      <c r="AO104" s="7"/>
      <c r="AU104" s="7"/>
      <c r="AV104" s="7"/>
      <c r="BB104" s="7"/>
      <c r="BC104" s="7"/>
      <c r="BI104" s="7"/>
      <c r="BJ104" s="7"/>
      <c r="BP104" s="7"/>
      <c r="BQ104" s="7"/>
      <c r="BW104" s="7"/>
      <c r="BX104" s="7"/>
    </row>
    <row r="105" ht="15.75" hidden="1" customHeight="1">
      <c r="A105" s="5" t="s">
        <v>629</v>
      </c>
      <c r="B105" s="5" t="s">
        <v>627</v>
      </c>
      <c r="C105" s="5" t="s">
        <v>40</v>
      </c>
      <c r="D105" s="5" t="s">
        <v>597</v>
      </c>
      <c r="E105" s="5" t="s">
        <v>597</v>
      </c>
      <c r="F105" s="5">
        <v>5.1</v>
      </c>
      <c r="L105" s="7"/>
      <c r="M105" s="7"/>
      <c r="S105" s="7"/>
      <c r="T105" s="7"/>
      <c r="Z105" s="7"/>
      <c r="AA105" s="7"/>
      <c r="AD105" s="6"/>
      <c r="AG105" s="7"/>
      <c r="AH105" s="7"/>
      <c r="AN105" s="7"/>
      <c r="AO105" s="7"/>
      <c r="AU105" s="7"/>
      <c r="AV105" s="7"/>
      <c r="BB105" s="7"/>
      <c r="BC105" s="7"/>
      <c r="BI105" s="7"/>
      <c r="BJ105" s="7"/>
      <c r="BP105" s="7"/>
      <c r="BQ105" s="7"/>
      <c r="BW105" s="7"/>
      <c r="BX105" s="7"/>
    </row>
    <row r="106" ht="15.75" hidden="1" customHeight="1">
      <c r="A106" s="5" t="s">
        <v>634</v>
      </c>
      <c r="B106" s="5" t="s">
        <v>631</v>
      </c>
      <c r="C106" s="5" t="s">
        <v>35</v>
      </c>
      <c r="D106" s="5" t="s">
        <v>597</v>
      </c>
      <c r="E106" s="5" t="s">
        <v>633</v>
      </c>
      <c r="F106" s="5">
        <v>4.8</v>
      </c>
      <c r="L106" s="7"/>
      <c r="M106" s="7"/>
      <c r="S106" s="7"/>
      <c r="T106" s="7"/>
      <c r="Z106" s="7"/>
      <c r="AA106" s="7"/>
      <c r="AD106" s="6"/>
      <c r="AE106" s="6"/>
      <c r="AG106" s="7"/>
      <c r="AH106" s="7"/>
      <c r="AN106" s="7"/>
      <c r="AO106" s="7"/>
      <c r="AU106" s="7"/>
      <c r="AV106" s="7"/>
      <c r="BB106" s="7"/>
      <c r="BC106" s="7"/>
      <c r="BI106" s="7"/>
      <c r="BJ106" s="7"/>
      <c r="BP106" s="7"/>
      <c r="BQ106" s="7"/>
      <c r="BW106" s="7"/>
      <c r="BX106" s="7"/>
    </row>
    <row r="107" ht="15.75" hidden="1" customHeight="1">
      <c r="A107" s="5" t="s">
        <v>638</v>
      </c>
      <c r="B107" s="5" t="s">
        <v>636</v>
      </c>
      <c r="C107" s="5" t="s">
        <v>44</v>
      </c>
      <c r="D107" s="5" t="s">
        <v>597</v>
      </c>
      <c r="E107" s="5" t="s">
        <v>633</v>
      </c>
      <c r="F107" s="5">
        <v>6.8</v>
      </c>
      <c r="L107" s="7"/>
      <c r="M107" s="7"/>
      <c r="S107" s="7"/>
      <c r="T107" s="7"/>
      <c r="Z107" s="7"/>
      <c r="AA107" s="7"/>
      <c r="AD107" s="6"/>
      <c r="AE107" s="6"/>
      <c r="AG107" s="7"/>
      <c r="AH107" s="7"/>
      <c r="AN107" s="7"/>
      <c r="AO107" s="7"/>
      <c r="AU107" s="7"/>
      <c r="AV107" s="7"/>
      <c r="BB107" s="7"/>
      <c r="BC107" s="7"/>
      <c r="BI107" s="7"/>
      <c r="BJ107" s="7"/>
      <c r="BP107" s="7"/>
      <c r="BQ107" s="7"/>
      <c r="BW107" s="7"/>
      <c r="BX107" s="7"/>
    </row>
    <row r="108" ht="15.75" hidden="1" customHeight="1">
      <c r="A108" s="5" t="s">
        <v>642</v>
      </c>
      <c r="B108" s="5" t="s">
        <v>640</v>
      </c>
      <c r="C108" s="5" t="s">
        <v>48</v>
      </c>
      <c r="D108" s="5" t="s">
        <v>597</v>
      </c>
      <c r="E108" s="5" t="s">
        <v>633</v>
      </c>
      <c r="F108" s="5">
        <v>6.4</v>
      </c>
      <c r="L108" s="7"/>
      <c r="M108" s="7"/>
      <c r="S108" s="7"/>
      <c r="T108" s="7"/>
      <c r="Z108" s="7"/>
      <c r="AA108" s="7"/>
      <c r="AD108" s="6"/>
      <c r="AE108" s="6"/>
      <c r="AG108" s="7"/>
      <c r="AH108" s="7"/>
      <c r="AN108" s="7"/>
      <c r="AO108" s="7"/>
      <c r="AU108" s="7"/>
      <c r="AV108" s="7"/>
      <c r="BB108" s="7"/>
      <c r="BC108" s="7"/>
      <c r="BI108" s="7"/>
      <c r="BJ108" s="7"/>
      <c r="BP108" s="7"/>
      <c r="BQ108" s="7"/>
      <c r="BW108" s="7"/>
      <c r="BX108" s="7"/>
    </row>
    <row r="109" ht="15.75" hidden="1" customHeight="1">
      <c r="A109" s="5" t="s">
        <v>646</v>
      </c>
      <c r="B109" s="5" t="s">
        <v>644</v>
      </c>
      <c r="C109" s="5" t="s">
        <v>40</v>
      </c>
      <c r="D109" s="5" t="s">
        <v>597</v>
      </c>
      <c r="E109" s="5" t="s">
        <v>633</v>
      </c>
      <c r="F109" s="5">
        <v>4.6</v>
      </c>
      <c r="L109" s="7"/>
      <c r="M109" s="7"/>
      <c r="S109" s="7"/>
      <c r="T109" s="7"/>
      <c r="Z109" s="7"/>
      <c r="AA109" s="7"/>
      <c r="AD109" s="6"/>
      <c r="AE109" s="6"/>
      <c r="AG109" s="7"/>
      <c r="AH109" s="7"/>
      <c r="AN109" s="7"/>
      <c r="AO109" s="7"/>
      <c r="AU109" s="7"/>
      <c r="AV109" s="7"/>
      <c r="BB109" s="7"/>
      <c r="BC109" s="7"/>
      <c r="BI109" s="7"/>
      <c r="BJ109" s="7"/>
      <c r="BP109" s="7"/>
      <c r="BQ109" s="7"/>
      <c r="BW109" s="7"/>
      <c r="BX109" s="7"/>
    </row>
    <row r="110" ht="15.75" customHeight="1">
      <c r="A110" s="5" t="s">
        <v>650</v>
      </c>
      <c r="B110" s="5" t="s">
        <v>648</v>
      </c>
      <c r="C110" s="5" t="s">
        <v>30</v>
      </c>
      <c r="D110" s="5" t="s">
        <v>597</v>
      </c>
      <c r="E110" s="5" t="s">
        <v>633</v>
      </c>
      <c r="F110" s="5">
        <v>6.3</v>
      </c>
      <c r="L110" s="7"/>
      <c r="M110" s="7"/>
      <c r="S110" s="7"/>
      <c r="T110" s="7"/>
      <c r="Z110" s="7"/>
      <c r="AA110" s="7"/>
      <c r="AD110" s="6"/>
      <c r="AE110" s="6"/>
      <c r="AG110" s="7"/>
      <c r="AH110" s="7"/>
      <c r="AN110" s="7"/>
      <c r="AO110" s="7"/>
      <c r="AU110" s="7"/>
      <c r="AV110" s="7"/>
      <c r="BB110" s="7"/>
      <c r="BC110" s="7"/>
      <c r="BI110" s="7"/>
      <c r="BJ110" s="7"/>
      <c r="BP110" s="7"/>
      <c r="BQ110" s="7"/>
      <c r="BW110" s="7"/>
      <c r="BX110" s="7"/>
    </row>
    <row r="111" ht="15.75" hidden="1" customHeight="1">
      <c r="A111" s="5" t="s">
        <v>654</v>
      </c>
      <c r="B111" s="5" t="s">
        <v>652</v>
      </c>
      <c r="C111" s="5" t="s">
        <v>40</v>
      </c>
      <c r="D111" s="5" t="s">
        <v>633</v>
      </c>
      <c r="E111" s="5" t="s">
        <v>633</v>
      </c>
      <c r="F111" s="5">
        <v>4.4</v>
      </c>
      <c r="L111" s="7"/>
      <c r="M111" s="7"/>
      <c r="S111" s="7"/>
      <c r="T111" s="7"/>
      <c r="Z111" s="7"/>
      <c r="AA111" s="7"/>
      <c r="AE111" s="6"/>
      <c r="AG111" s="7"/>
      <c r="AH111" s="7"/>
      <c r="AN111" s="7"/>
      <c r="AO111" s="7"/>
      <c r="AU111" s="7"/>
      <c r="AV111" s="7"/>
      <c r="BB111" s="7"/>
      <c r="BC111" s="7"/>
      <c r="BI111" s="7"/>
      <c r="BJ111" s="7"/>
      <c r="BP111" s="7"/>
      <c r="BQ111" s="7"/>
      <c r="BW111" s="7"/>
      <c r="BX111" s="7"/>
    </row>
    <row r="112" ht="15.75" hidden="1" customHeight="1">
      <c r="A112" s="5" t="s">
        <v>659</v>
      </c>
      <c r="B112" s="5" t="s">
        <v>656</v>
      </c>
      <c r="C112" s="5" t="s">
        <v>35</v>
      </c>
      <c r="D112" s="5" t="s">
        <v>633</v>
      </c>
      <c r="E112" s="5" t="s">
        <v>658</v>
      </c>
      <c r="F112" s="5">
        <v>3.3</v>
      </c>
      <c r="L112" s="7"/>
      <c r="M112" s="7"/>
      <c r="S112" s="7"/>
      <c r="T112" s="7"/>
      <c r="Z112" s="7"/>
      <c r="AA112" s="7"/>
      <c r="AE112" s="6"/>
      <c r="AF112" s="6"/>
      <c r="AG112" s="7"/>
      <c r="AH112" s="7"/>
      <c r="AN112" s="7"/>
      <c r="AO112" s="7"/>
      <c r="AU112" s="7"/>
      <c r="AV112" s="7"/>
      <c r="BB112" s="7"/>
      <c r="BC112" s="7"/>
      <c r="BI112" s="7"/>
      <c r="BJ112" s="7"/>
      <c r="BP112" s="7"/>
      <c r="BQ112" s="7"/>
      <c r="BW112" s="7"/>
      <c r="BX112" s="7"/>
    </row>
    <row r="113" ht="15.75" hidden="1" customHeight="1">
      <c r="A113" s="5" t="s">
        <v>663</v>
      </c>
      <c r="B113" s="5" t="s">
        <v>661</v>
      </c>
      <c r="C113" s="5" t="s">
        <v>44</v>
      </c>
      <c r="D113" s="5" t="s">
        <v>633</v>
      </c>
      <c r="E113" s="5" t="s">
        <v>658</v>
      </c>
      <c r="F113" s="5">
        <v>5.9</v>
      </c>
      <c r="L113" s="7"/>
      <c r="M113" s="7"/>
      <c r="S113" s="7"/>
      <c r="T113" s="7"/>
      <c r="Z113" s="7"/>
      <c r="AA113" s="7"/>
      <c r="AE113" s="6"/>
      <c r="AF113" s="6"/>
      <c r="AG113" s="7"/>
      <c r="AH113" s="7"/>
      <c r="AN113" s="7"/>
      <c r="AO113" s="7"/>
      <c r="AU113" s="7"/>
      <c r="AV113" s="7"/>
      <c r="BB113" s="7"/>
      <c r="BC113" s="7"/>
      <c r="BI113" s="7"/>
      <c r="BJ113" s="7"/>
      <c r="BP113" s="7"/>
      <c r="BQ113" s="7"/>
      <c r="BW113" s="7"/>
      <c r="BX113" s="7"/>
    </row>
    <row r="114" ht="15.75" hidden="1" customHeight="1">
      <c r="A114" s="5" t="s">
        <v>667</v>
      </c>
      <c r="B114" s="5" t="s">
        <v>665</v>
      </c>
      <c r="C114" s="5" t="s">
        <v>48</v>
      </c>
      <c r="D114" s="5" t="s">
        <v>633</v>
      </c>
      <c r="E114" s="5" t="s">
        <v>658</v>
      </c>
      <c r="F114" s="5">
        <v>5.7</v>
      </c>
      <c r="L114" s="7"/>
      <c r="M114" s="7"/>
      <c r="S114" s="7"/>
      <c r="T114" s="7"/>
      <c r="Z114" s="7"/>
      <c r="AA114" s="7"/>
      <c r="AE114" s="6"/>
      <c r="AF114" s="6"/>
      <c r="AG114" s="7"/>
      <c r="AH114" s="7"/>
      <c r="AN114" s="7"/>
      <c r="AO114" s="7"/>
      <c r="AU114" s="7"/>
      <c r="AV114" s="7"/>
      <c r="BB114" s="7"/>
      <c r="BC114" s="7"/>
      <c r="BI114" s="7"/>
      <c r="BJ114" s="7"/>
      <c r="BP114" s="7"/>
      <c r="BQ114" s="7"/>
      <c r="BW114" s="7"/>
      <c r="BX114" s="7"/>
    </row>
    <row r="115" ht="15.75" hidden="1" customHeight="1">
      <c r="A115" s="5" t="s">
        <v>671</v>
      </c>
      <c r="B115" s="5" t="s">
        <v>669</v>
      </c>
      <c r="C115" s="5" t="s">
        <v>40</v>
      </c>
      <c r="D115" s="5" t="s">
        <v>633</v>
      </c>
      <c r="E115" s="5" t="s">
        <v>658</v>
      </c>
      <c r="F115" s="5">
        <v>3.9</v>
      </c>
      <c r="L115" s="7"/>
      <c r="M115" s="7"/>
      <c r="S115" s="7"/>
      <c r="T115" s="7"/>
      <c r="Z115" s="7"/>
      <c r="AA115" s="7"/>
      <c r="AE115" s="6"/>
      <c r="AF115" s="6"/>
      <c r="AG115" s="7"/>
      <c r="AH115" s="7"/>
      <c r="AN115" s="7"/>
      <c r="AO115" s="7"/>
      <c r="AU115" s="7"/>
      <c r="AV115" s="7"/>
      <c r="BB115" s="7"/>
      <c r="BC115" s="7"/>
      <c r="BI115" s="7"/>
      <c r="BJ115" s="7"/>
      <c r="BP115" s="7"/>
      <c r="BQ115" s="7"/>
      <c r="BW115" s="7"/>
      <c r="BX115" s="7"/>
    </row>
    <row r="116" ht="15.75" customHeight="1">
      <c r="A116" s="5" t="s">
        <v>676</v>
      </c>
      <c r="B116" s="5" t="s">
        <v>673</v>
      </c>
      <c r="C116" s="5" t="s">
        <v>30</v>
      </c>
      <c r="D116" s="5" t="s">
        <v>633</v>
      </c>
      <c r="E116" s="5" t="s">
        <v>675</v>
      </c>
      <c r="F116" s="5">
        <v>1.7</v>
      </c>
      <c r="L116" s="7"/>
      <c r="M116" s="7"/>
      <c r="S116" s="7"/>
      <c r="T116" s="7"/>
      <c r="Z116" s="7"/>
      <c r="AA116" s="7"/>
      <c r="AE116" s="6"/>
      <c r="AF116" s="6"/>
      <c r="AG116" s="6"/>
      <c r="AH116" s="6"/>
      <c r="AN116" s="7"/>
      <c r="AO116" s="7"/>
      <c r="AU116" s="7"/>
      <c r="AV116" s="7"/>
      <c r="BB116" s="7"/>
      <c r="BC116" s="7"/>
      <c r="BI116" s="7"/>
      <c r="BJ116" s="7"/>
      <c r="BP116" s="7"/>
      <c r="BQ116" s="7"/>
      <c r="BW116" s="7"/>
      <c r="BX116" s="7"/>
    </row>
    <row r="117" ht="15.75" hidden="1" customHeight="1">
      <c r="A117" s="5" t="s">
        <v>680</v>
      </c>
      <c r="B117" s="5" t="s">
        <v>678</v>
      </c>
      <c r="C117" s="5" t="s">
        <v>35</v>
      </c>
      <c r="D117" s="5" t="s">
        <v>658</v>
      </c>
      <c r="E117" s="5" t="s">
        <v>658</v>
      </c>
      <c r="F117" s="5">
        <v>3.3</v>
      </c>
      <c r="L117" s="7"/>
      <c r="M117" s="7"/>
      <c r="S117" s="7"/>
      <c r="T117" s="7"/>
      <c r="Z117" s="7"/>
      <c r="AA117" s="7"/>
      <c r="AF117" s="6"/>
      <c r="AG117" s="7"/>
      <c r="AH117" s="7"/>
      <c r="AN117" s="7"/>
      <c r="AO117" s="7"/>
      <c r="AU117" s="7"/>
      <c r="AV117" s="7"/>
      <c r="BB117" s="7"/>
      <c r="BC117" s="7"/>
      <c r="BI117" s="7"/>
      <c r="BJ117" s="7"/>
      <c r="BP117" s="7"/>
      <c r="BQ117" s="7"/>
      <c r="BW117" s="7"/>
      <c r="BX117" s="7"/>
    </row>
    <row r="118" ht="15.75" hidden="1" customHeight="1">
      <c r="A118" s="5" t="s">
        <v>684</v>
      </c>
      <c r="B118" s="5" t="s">
        <v>682</v>
      </c>
      <c r="C118" s="5" t="s">
        <v>44</v>
      </c>
      <c r="D118" s="5" t="s">
        <v>658</v>
      </c>
      <c r="E118" s="5" t="s">
        <v>658</v>
      </c>
      <c r="F118" s="5">
        <v>5.4</v>
      </c>
      <c r="L118" s="7"/>
      <c r="M118" s="7"/>
      <c r="S118" s="7"/>
      <c r="T118" s="7"/>
      <c r="Z118" s="7"/>
      <c r="AA118" s="7"/>
      <c r="AF118" s="6"/>
      <c r="AG118" s="7"/>
      <c r="AH118" s="7"/>
      <c r="AN118" s="7"/>
      <c r="AO118" s="7"/>
      <c r="AU118" s="7"/>
      <c r="AV118" s="7"/>
      <c r="BB118" s="7"/>
      <c r="BC118" s="7"/>
      <c r="BI118" s="7"/>
      <c r="BJ118" s="7"/>
      <c r="BP118" s="7"/>
      <c r="BQ118" s="7"/>
      <c r="BW118" s="7"/>
      <c r="BX118" s="7"/>
    </row>
    <row r="119" ht="15.75" hidden="1" customHeight="1">
      <c r="A119" s="5" t="s">
        <v>688</v>
      </c>
      <c r="B119" s="5" t="s">
        <v>686</v>
      </c>
      <c r="C119" s="5" t="s">
        <v>40</v>
      </c>
      <c r="D119" s="5" t="s">
        <v>658</v>
      </c>
      <c r="E119" s="5" t="s">
        <v>658</v>
      </c>
      <c r="F119" s="5">
        <v>3.2</v>
      </c>
      <c r="L119" s="7"/>
      <c r="M119" s="7"/>
      <c r="S119" s="7"/>
      <c r="T119" s="7"/>
      <c r="Z119" s="7"/>
      <c r="AA119" s="7"/>
      <c r="AF119" s="6"/>
      <c r="AG119" s="7"/>
      <c r="AH119" s="7"/>
      <c r="AN119" s="7"/>
      <c r="AO119" s="7"/>
      <c r="AU119" s="7"/>
      <c r="AV119" s="7"/>
      <c r="BB119" s="7"/>
      <c r="BC119" s="7"/>
      <c r="BI119" s="7"/>
      <c r="BJ119" s="7"/>
      <c r="BP119" s="7"/>
      <c r="BQ119" s="7"/>
      <c r="BW119" s="7"/>
      <c r="BX119" s="7"/>
    </row>
    <row r="120" ht="15.75" hidden="1" customHeight="1">
      <c r="A120" s="5" t="s">
        <v>692</v>
      </c>
      <c r="B120" s="5" t="s">
        <v>690</v>
      </c>
      <c r="C120" s="5" t="s">
        <v>35</v>
      </c>
      <c r="D120" s="5" t="s">
        <v>658</v>
      </c>
      <c r="E120" s="5" t="s">
        <v>162</v>
      </c>
      <c r="F120" s="5">
        <v>2.1</v>
      </c>
      <c r="L120" s="7"/>
      <c r="M120" s="7"/>
      <c r="S120" s="7"/>
      <c r="T120" s="7"/>
      <c r="Z120" s="7"/>
      <c r="AA120" s="7"/>
      <c r="AF120" s="6"/>
      <c r="AG120" s="6"/>
      <c r="AH120" s="7"/>
      <c r="AN120" s="7"/>
      <c r="AO120" s="7"/>
      <c r="AU120" s="7"/>
      <c r="AV120" s="7"/>
      <c r="BB120" s="7"/>
      <c r="BC120" s="7"/>
      <c r="BI120" s="7"/>
      <c r="BJ120" s="7"/>
      <c r="BP120" s="7"/>
      <c r="BQ120" s="7"/>
      <c r="BW120" s="7"/>
      <c r="BX120" s="7"/>
    </row>
    <row r="121" ht="15.75" hidden="1" customHeight="1">
      <c r="A121" s="5" t="s">
        <v>696</v>
      </c>
      <c r="B121" s="5" t="s">
        <v>694</v>
      </c>
      <c r="C121" s="5" t="s">
        <v>44</v>
      </c>
      <c r="D121" s="5" t="s">
        <v>658</v>
      </c>
      <c r="E121" s="5" t="s">
        <v>162</v>
      </c>
      <c r="F121" s="5">
        <v>4.8</v>
      </c>
      <c r="L121" s="7"/>
      <c r="M121" s="7"/>
      <c r="S121" s="7"/>
      <c r="T121" s="7"/>
      <c r="Z121" s="7"/>
      <c r="AA121" s="7"/>
      <c r="AF121" s="6"/>
      <c r="AG121" s="6"/>
      <c r="AH121" s="7"/>
      <c r="AN121" s="7"/>
      <c r="AO121" s="7"/>
      <c r="AU121" s="7"/>
      <c r="AV121" s="7"/>
      <c r="BB121" s="7"/>
      <c r="BC121" s="7"/>
      <c r="BI121" s="7"/>
      <c r="BJ121" s="7"/>
      <c r="BP121" s="7"/>
      <c r="BQ121" s="7"/>
      <c r="BW121" s="7"/>
      <c r="BX121" s="7"/>
    </row>
    <row r="122" ht="15.75" hidden="1" customHeight="1">
      <c r="A122" s="5" t="s">
        <v>700</v>
      </c>
      <c r="B122" s="5" t="s">
        <v>698</v>
      </c>
      <c r="C122" s="5" t="s">
        <v>48</v>
      </c>
      <c r="D122" s="5" t="s">
        <v>658</v>
      </c>
      <c r="E122" s="5" t="s">
        <v>162</v>
      </c>
      <c r="F122" s="5">
        <v>5.0</v>
      </c>
      <c r="L122" s="7"/>
      <c r="M122" s="7"/>
      <c r="S122" s="7"/>
      <c r="T122" s="7"/>
      <c r="Z122" s="7"/>
      <c r="AA122" s="7"/>
      <c r="AF122" s="6"/>
      <c r="AG122" s="6"/>
      <c r="AH122" s="7"/>
      <c r="AN122" s="7"/>
      <c r="AO122" s="7"/>
      <c r="AU122" s="7"/>
      <c r="AV122" s="7"/>
      <c r="BB122" s="7"/>
      <c r="BC122" s="7"/>
      <c r="BI122" s="7"/>
      <c r="BJ122" s="7"/>
      <c r="BP122" s="7"/>
      <c r="BQ122" s="7"/>
      <c r="BW122" s="7"/>
      <c r="BX122" s="7"/>
    </row>
    <row r="123" ht="15.75" hidden="1" customHeight="1">
      <c r="A123" s="5" t="s">
        <v>704</v>
      </c>
      <c r="B123" s="5" t="s">
        <v>702</v>
      </c>
      <c r="C123" s="5" t="s">
        <v>40</v>
      </c>
      <c r="D123" s="5" t="s">
        <v>658</v>
      </c>
      <c r="E123" s="5" t="s">
        <v>162</v>
      </c>
      <c r="F123" s="5">
        <v>2.7</v>
      </c>
      <c r="L123" s="7"/>
      <c r="M123" s="7"/>
      <c r="S123" s="7"/>
      <c r="T123" s="7"/>
      <c r="Z123" s="7"/>
      <c r="AA123" s="7"/>
      <c r="AF123" s="6"/>
      <c r="AG123" s="6"/>
      <c r="AH123" s="7"/>
      <c r="AN123" s="7"/>
      <c r="AO123" s="7"/>
      <c r="AU123" s="7"/>
      <c r="AV123" s="7"/>
      <c r="BB123" s="7"/>
      <c r="BC123" s="7"/>
      <c r="BI123" s="7"/>
      <c r="BJ123" s="7"/>
      <c r="BP123" s="7"/>
      <c r="BQ123" s="7"/>
      <c r="BW123" s="7"/>
      <c r="BX123" s="7"/>
    </row>
    <row r="124" ht="15.75" hidden="1" customHeight="1">
      <c r="A124" s="5" t="s">
        <v>708</v>
      </c>
      <c r="B124" s="5" t="s">
        <v>706</v>
      </c>
      <c r="C124" s="5" t="s">
        <v>48</v>
      </c>
      <c r="D124" s="5" t="s">
        <v>162</v>
      </c>
      <c r="E124" s="5" t="s">
        <v>162</v>
      </c>
      <c r="F124" s="5">
        <v>4.6</v>
      </c>
      <c r="L124" s="7"/>
      <c r="M124" s="7"/>
      <c r="S124" s="7"/>
      <c r="T124" s="7"/>
      <c r="Z124" s="7"/>
      <c r="AA124" s="7"/>
      <c r="AG124" s="6"/>
      <c r="AH124" s="7"/>
      <c r="AN124" s="7"/>
      <c r="AO124" s="7"/>
      <c r="AU124" s="7"/>
      <c r="AV124" s="7"/>
      <c r="BB124" s="7"/>
      <c r="BC124" s="7"/>
      <c r="BI124" s="7"/>
      <c r="BJ124" s="7"/>
      <c r="BP124" s="7"/>
      <c r="BQ124" s="7"/>
      <c r="BW124" s="7"/>
      <c r="BX124" s="7"/>
    </row>
    <row r="125" ht="15.75" hidden="1" customHeight="1">
      <c r="A125" s="5" t="s">
        <v>713</v>
      </c>
      <c r="B125" s="10" t="s">
        <v>710</v>
      </c>
      <c r="C125" s="5" t="s">
        <v>40</v>
      </c>
      <c r="D125" s="5" t="s">
        <v>162</v>
      </c>
      <c r="E125" s="5" t="s">
        <v>675</v>
      </c>
      <c r="F125" s="5">
        <v>1.5</v>
      </c>
      <c r="L125" s="7"/>
      <c r="M125" s="7"/>
      <c r="S125" s="7"/>
      <c r="T125" s="7"/>
      <c r="Z125" s="7"/>
      <c r="AA125" s="7"/>
      <c r="AG125" s="11"/>
      <c r="AH125" s="11"/>
      <c r="AN125" s="7"/>
      <c r="AO125" s="7"/>
      <c r="AU125" s="7"/>
      <c r="AV125" s="7"/>
      <c r="BB125" s="7"/>
      <c r="BC125" s="7"/>
      <c r="BI125" s="7"/>
      <c r="BJ125" s="7"/>
      <c r="BP125" s="7"/>
      <c r="BQ125" s="7"/>
      <c r="BW125" s="7"/>
      <c r="BX125" s="7"/>
    </row>
    <row r="126" ht="15.75" hidden="1" customHeight="1">
      <c r="A126" s="5" t="s">
        <v>717</v>
      </c>
      <c r="B126" s="5" t="s">
        <v>715</v>
      </c>
      <c r="C126" s="5" t="s">
        <v>44</v>
      </c>
      <c r="D126" s="5" t="s">
        <v>162</v>
      </c>
      <c r="E126" s="5" t="s">
        <v>675</v>
      </c>
      <c r="F126" s="5">
        <v>3.3</v>
      </c>
      <c r="L126" s="7"/>
      <c r="M126" s="7"/>
      <c r="S126" s="7"/>
      <c r="T126" s="7"/>
      <c r="Z126" s="7"/>
      <c r="AA126" s="7"/>
      <c r="AG126" s="6"/>
      <c r="AH126" s="6"/>
      <c r="AN126" s="7"/>
      <c r="AO126" s="7"/>
      <c r="AU126" s="7"/>
      <c r="AV126" s="7"/>
      <c r="BB126" s="7"/>
      <c r="BC126" s="7"/>
      <c r="BI126" s="7"/>
      <c r="BJ126" s="7"/>
      <c r="BP126" s="7"/>
      <c r="BQ126" s="7"/>
      <c r="BW126" s="7"/>
      <c r="BX126" s="7"/>
    </row>
    <row r="127" ht="15.75" hidden="1" customHeight="1">
      <c r="A127" s="5" t="s">
        <v>721</v>
      </c>
      <c r="B127" s="5" t="s">
        <v>719</v>
      </c>
      <c r="C127" s="5" t="s">
        <v>35</v>
      </c>
      <c r="D127" s="5" t="s">
        <v>162</v>
      </c>
      <c r="E127" s="5" t="s">
        <v>675</v>
      </c>
      <c r="F127" s="5">
        <v>1.9</v>
      </c>
      <c r="L127" s="7"/>
      <c r="M127" s="7"/>
      <c r="S127" s="7"/>
      <c r="T127" s="7"/>
      <c r="Z127" s="7"/>
      <c r="AA127" s="7"/>
      <c r="AG127" s="6"/>
      <c r="AH127" s="6"/>
      <c r="AN127" s="7"/>
      <c r="AO127" s="7"/>
      <c r="AU127" s="7"/>
      <c r="AV127" s="7"/>
      <c r="BB127" s="7"/>
      <c r="BC127" s="7"/>
      <c r="BI127" s="7"/>
      <c r="BJ127" s="7"/>
      <c r="BP127" s="7"/>
      <c r="BQ127" s="7"/>
      <c r="BW127" s="7"/>
      <c r="BX127" s="7"/>
    </row>
    <row r="128" ht="15.75" hidden="1" customHeight="1">
      <c r="A128" s="5" t="s">
        <v>725</v>
      </c>
      <c r="B128" s="5" t="s">
        <v>723</v>
      </c>
      <c r="C128" s="5" t="s">
        <v>48</v>
      </c>
      <c r="D128" s="5" t="s">
        <v>162</v>
      </c>
      <c r="E128" s="5" t="s">
        <v>675</v>
      </c>
      <c r="F128" s="5">
        <v>3.9</v>
      </c>
      <c r="L128" s="7"/>
      <c r="M128" s="7"/>
      <c r="S128" s="7"/>
      <c r="T128" s="7"/>
      <c r="Z128" s="7"/>
      <c r="AA128" s="7"/>
      <c r="AG128" s="6"/>
      <c r="AH128" s="6"/>
      <c r="AN128" s="7"/>
      <c r="AO128" s="7"/>
      <c r="AU128" s="7"/>
      <c r="AV128" s="7"/>
      <c r="BB128" s="7"/>
      <c r="BC128" s="7"/>
      <c r="BI128" s="7"/>
      <c r="BJ128" s="7"/>
      <c r="BP128" s="7"/>
      <c r="BQ128" s="7"/>
      <c r="BW128" s="7"/>
      <c r="BX128" s="7"/>
    </row>
    <row r="129" ht="15.75" hidden="1" customHeight="1">
      <c r="A129" s="5" t="s">
        <v>729</v>
      </c>
      <c r="B129" s="10" t="s">
        <v>727</v>
      </c>
      <c r="C129" s="5" t="s">
        <v>35</v>
      </c>
      <c r="D129" s="5" t="s">
        <v>675</v>
      </c>
      <c r="E129" s="5" t="s">
        <v>675</v>
      </c>
      <c r="F129" s="5">
        <v>1.0</v>
      </c>
      <c r="L129" s="7"/>
      <c r="M129" s="7"/>
      <c r="S129" s="7"/>
      <c r="T129" s="7"/>
      <c r="Z129" s="7"/>
      <c r="AA129" s="7"/>
      <c r="AG129" s="7"/>
      <c r="AH129" s="11"/>
      <c r="AN129" s="7"/>
      <c r="AO129" s="7"/>
      <c r="AU129" s="7"/>
      <c r="AV129" s="7"/>
      <c r="BB129" s="7"/>
      <c r="BC129" s="7"/>
      <c r="BI129" s="7"/>
      <c r="BJ129" s="7"/>
      <c r="BP129" s="7"/>
      <c r="BQ129" s="7"/>
      <c r="BW129" s="7"/>
      <c r="BX129" s="7"/>
    </row>
    <row r="130" ht="15.75" hidden="1" customHeight="1">
      <c r="A130" s="5" t="s">
        <v>733</v>
      </c>
      <c r="B130" s="10" t="s">
        <v>731</v>
      </c>
      <c r="C130" s="5" t="s">
        <v>40</v>
      </c>
      <c r="D130" s="5" t="s">
        <v>675</v>
      </c>
      <c r="E130" s="5" t="s">
        <v>675</v>
      </c>
      <c r="F130" s="5">
        <v>1.5</v>
      </c>
      <c r="L130" s="7"/>
      <c r="M130" s="7"/>
      <c r="S130" s="7"/>
      <c r="T130" s="7"/>
      <c r="Z130" s="7"/>
      <c r="AA130" s="7"/>
      <c r="AG130" s="7"/>
      <c r="AH130" s="11"/>
      <c r="AN130" s="7"/>
      <c r="AO130" s="7"/>
      <c r="AU130" s="7"/>
      <c r="AV130" s="7"/>
      <c r="BB130" s="7"/>
      <c r="BC130" s="7"/>
      <c r="BI130" s="7"/>
      <c r="BJ130" s="7"/>
      <c r="BP130" s="7"/>
      <c r="BQ130" s="7"/>
      <c r="BW130" s="7"/>
      <c r="BX130" s="7"/>
    </row>
    <row r="131" ht="15.75" hidden="1" customHeight="1">
      <c r="A131" s="5" t="s">
        <v>737</v>
      </c>
      <c r="B131" s="10" t="s">
        <v>735</v>
      </c>
      <c r="C131" s="5" t="s">
        <v>40</v>
      </c>
      <c r="D131" s="5" t="s">
        <v>675</v>
      </c>
      <c r="E131" s="5" t="s">
        <v>675</v>
      </c>
      <c r="F131" s="5">
        <v>1.0</v>
      </c>
      <c r="L131" s="7"/>
      <c r="M131" s="7"/>
      <c r="S131" s="7"/>
      <c r="T131" s="7"/>
      <c r="Z131" s="7"/>
      <c r="AA131" s="7"/>
      <c r="AG131" s="7"/>
      <c r="AH131" s="11"/>
      <c r="AN131" s="7"/>
      <c r="AO131" s="7"/>
      <c r="AU131" s="7"/>
      <c r="AV131" s="7"/>
      <c r="BB131" s="7"/>
      <c r="BC131" s="7"/>
      <c r="BI131" s="7"/>
      <c r="BJ131" s="7"/>
      <c r="BP131" s="7"/>
      <c r="BQ131" s="7"/>
      <c r="BW131" s="7"/>
      <c r="BX131" s="7"/>
    </row>
    <row r="132" ht="15.75" hidden="1" customHeight="1">
      <c r="A132" s="5" t="s">
        <v>741</v>
      </c>
      <c r="B132" s="5" t="s">
        <v>739</v>
      </c>
      <c r="C132" s="5" t="s">
        <v>35</v>
      </c>
      <c r="D132" s="5" t="s">
        <v>675</v>
      </c>
      <c r="E132" s="5" t="s">
        <v>675</v>
      </c>
      <c r="F132" s="5">
        <v>1.6</v>
      </c>
      <c r="L132" s="7"/>
      <c r="M132" s="7"/>
      <c r="S132" s="7"/>
      <c r="T132" s="7"/>
      <c r="Z132" s="7"/>
      <c r="AA132" s="7"/>
      <c r="AG132" s="7"/>
      <c r="AH132" s="6"/>
      <c r="AN132" s="7"/>
      <c r="AO132" s="7"/>
      <c r="AU132" s="7"/>
      <c r="AV132" s="7"/>
      <c r="BB132" s="7"/>
      <c r="BC132" s="7"/>
      <c r="BI132" s="7"/>
      <c r="BJ132" s="7"/>
      <c r="BP132" s="7"/>
      <c r="BQ132" s="7"/>
      <c r="BW132" s="7"/>
      <c r="BX132" s="7"/>
    </row>
    <row r="133" ht="15.75" hidden="1" customHeight="1">
      <c r="A133" s="5" t="s">
        <v>745</v>
      </c>
      <c r="B133" s="5" t="s">
        <v>743</v>
      </c>
      <c r="C133" s="5" t="s">
        <v>48</v>
      </c>
      <c r="D133" s="5" t="s">
        <v>675</v>
      </c>
      <c r="E133" s="5" t="s">
        <v>675</v>
      </c>
      <c r="F133" s="5">
        <v>3.2</v>
      </c>
      <c r="L133" s="7"/>
      <c r="M133" s="7"/>
      <c r="S133" s="7"/>
      <c r="T133" s="7"/>
      <c r="Z133" s="7"/>
      <c r="AA133" s="7"/>
      <c r="AG133" s="7"/>
      <c r="AH133" s="6"/>
      <c r="AN133" s="7"/>
      <c r="AO133" s="7"/>
      <c r="AU133" s="7"/>
      <c r="AV133" s="7"/>
      <c r="BB133" s="7"/>
      <c r="BC133" s="7"/>
      <c r="BI133" s="7"/>
      <c r="BJ133" s="7"/>
      <c r="BP133" s="7"/>
      <c r="BQ133" s="7"/>
      <c r="BW133" s="7"/>
      <c r="BX133" s="7"/>
    </row>
    <row r="134" ht="15.75" hidden="1" customHeight="1">
      <c r="A134" s="5" t="s">
        <v>749</v>
      </c>
      <c r="B134" s="10" t="s">
        <v>747</v>
      </c>
      <c r="C134" s="14" t="s">
        <v>35</v>
      </c>
      <c r="D134" s="5" t="s">
        <v>675</v>
      </c>
      <c r="E134" s="5" t="s">
        <v>177</v>
      </c>
      <c r="F134" s="5">
        <v>1.0</v>
      </c>
      <c r="L134" s="7"/>
      <c r="M134" s="7"/>
      <c r="S134" s="7"/>
      <c r="T134" s="7"/>
      <c r="Z134" s="7"/>
      <c r="AA134" s="7"/>
      <c r="AG134" s="7"/>
      <c r="AH134" s="11"/>
      <c r="AI134" s="11"/>
      <c r="AN134" s="7"/>
      <c r="AO134" s="7"/>
      <c r="AU134" s="7"/>
      <c r="AV134" s="7"/>
      <c r="BB134" s="7"/>
      <c r="BC134" s="7"/>
      <c r="BI134" s="7"/>
      <c r="BJ134" s="7"/>
      <c r="BP134" s="7"/>
      <c r="BQ134" s="7"/>
      <c r="BW134" s="7"/>
      <c r="BX134" s="7"/>
    </row>
    <row r="135" ht="15.75" hidden="1" customHeight="1">
      <c r="A135" s="5" t="s">
        <v>753</v>
      </c>
      <c r="B135" s="5" t="s">
        <v>751</v>
      </c>
      <c r="C135" s="5" t="s">
        <v>44</v>
      </c>
      <c r="D135" s="5" t="s">
        <v>675</v>
      </c>
      <c r="E135" s="5" t="s">
        <v>177</v>
      </c>
      <c r="F135" s="5">
        <v>2.5</v>
      </c>
      <c r="L135" s="7"/>
      <c r="M135" s="7"/>
      <c r="S135" s="7"/>
      <c r="T135" s="7"/>
      <c r="Z135" s="7"/>
      <c r="AA135" s="7"/>
      <c r="AG135" s="7"/>
      <c r="AH135" s="6"/>
      <c r="AI135" s="6"/>
      <c r="AN135" s="7"/>
      <c r="AO135" s="7"/>
      <c r="AU135" s="7"/>
      <c r="AV135" s="7"/>
      <c r="BB135" s="7"/>
      <c r="BC135" s="7"/>
      <c r="BI135" s="7"/>
      <c r="BJ135" s="7"/>
      <c r="BP135" s="7"/>
      <c r="BQ135" s="7"/>
      <c r="BW135" s="7"/>
      <c r="BX135" s="7"/>
    </row>
    <row r="136" ht="15.75" hidden="1" customHeight="1">
      <c r="A136" s="5" t="s">
        <v>757</v>
      </c>
      <c r="B136" s="5" t="s">
        <v>755</v>
      </c>
      <c r="C136" s="5" t="s">
        <v>48</v>
      </c>
      <c r="D136" s="5" t="s">
        <v>675</v>
      </c>
      <c r="E136" s="5" t="s">
        <v>177</v>
      </c>
      <c r="F136" s="5">
        <v>2.8</v>
      </c>
      <c r="L136" s="7"/>
      <c r="M136" s="7"/>
      <c r="S136" s="7"/>
      <c r="T136" s="7"/>
      <c r="Z136" s="7"/>
      <c r="AA136" s="7"/>
      <c r="AG136" s="7"/>
      <c r="AH136" s="6"/>
      <c r="AI136" s="6"/>
      <c r="AN136" s="7"/>
      <c r="AO136" s="7"/>
      <c r="AU136" s="7"/>
      <c r="AV136" s="7"/>
      <c r="BB136" s="7"/>
      <c r="BC136" s="7"/>
      <c r="BI136" s="7"/>
      <c r="BJ136" s="7"/>
      <c r="BP136" s="7"/>
      <c r="BQ136" s="7"/>
      <c r="BW136" s="7"/>
      <c r="BX136" s="7"/>
    </row>
    <row r="137" ht="15.75" hidden="1" customHeight="1">
      <c r="A137" s="5" t="s">
        <v>761</v>
      </c>
      <c r="B137" s="5" t="s">
        <v>759</v>
      </c>
      <c r="C137" s="5" t="s">
        <v>44</v>
      </c>
      <c r="D137" s="5" t="s">
        <v>177</v>
      </c>
      <c r="E137" s="5" t="s">
        <v>177</v>
      </c>
      <c r="F137" s="5">
        <v>2.2</v>
      </c>
      <c r="L137" s="7"/>
      <c r="M137" s="7"/>
      <c r="S137" s="7"/>
      <c r="T137" s="7"/>
      <c r="Z137" s="7"/>
      <c r="AA137" s="7"/>
      <c r="AG137" s="7"/>
      <c r="AH137" s="7"/>
      <c r="AI137" s="6"/>
      <c r="AN137" s="7"/>
      <c r="AO137" s="7"/>
      <c r="AU137" s="7"/>
      <c r="AV137" s="7"/>
      <c r="BB137" s="7"/>
      <c r="BC137" s="7"/>
      <c r="BI137" s="7"/>
      <c r="BJ137" s="7"/>
      <c r="BP137" s="7"/>
      <c r="BQ137" s="7"/>
      <c r="BW137" s="7"/>
      <c r="BX137" s="7"/>
    </row>
    <row r="138" ht="15.75" hidden="1" customHeight="1">
      <c r="A138" s="5" t="s">
        <v>765</v>
      </c>
      <c r="B138" s="5" t="s">
        <v>763</v>
      </c>
      <c r="C138" s="5" t="s">
        <v>48</v>
      </c>
      <c r="D138" s="5" t="s">
        <v>177</v>
      </c>
      <c r="E138" s="5" t="s">
        <v>177</v>
      </c>
      <c r="F138" s="5">
        <v>2.1</v>
      </c>
      <c r="L138" s="7"/>
      <c r="M138" s="7"/>
      <c r="S138" s="7"/>
      <c r="T138" s="7"/>
      <c r="Z138" s="7"/>
      <c r="AA138" s="7"/>
      <c r="AG138" s="7"/>
      <c r="AH138" s="7"/>
      <c r="AI138" s="6"/>
      <c r="AN138" s="7"/>
      <c r="AO138" s="7"/>
      <c r="AU138" s="7"/>
      <c r="AV138" s="7"/>
      <c r="BB138" s="7"/>
      <c r="BC138" s="7"/>
      <c r="BI138" s="7"/>
      <c r="BJ138" s="7"/>
      <c r="BP138" s="7"/>
      <c r="BQ138" s="7"/>
      <c r="BW138" s="7"/>
      <c r="BX138" s="7"/>
    </row>
    <row r="139" ht="15.75" hidden="1" customHeight="1">
      <c r="A139" s="5" t="s">
        <v>770</v>
      </c>
      <c r="B139" s="10" t="s">
        <v>767</v>
      </c>
      <c r="C139" s="5" t="s">
        <v>48</v>
      </c>
      <c r="D139" s="5" t="s">
        <v>177</v>
      </c>
      <c r="E139" s="5" t="s">
        <v>145</v>
      </c>
      <c r="F139" s="5">
        <v>1.4</v>
      </c>
      <c r="L139" s="7"/>
      <c r="M139" s="7"/>
      <c r="S139" s="7"/>
      <c r="T139" s="7"/>
      <c r="Z139" s="7"/>
      <c r="AA139" s="7"/>
      <c r="AG139" s="7"/>
      <c r="AH139" s="7"/>
      <c r="AI139" s="11"/>
      <c r="AJ139" s="11"/>
      <c r="AN139" s="7"/>
      <c r="AO139" s="7"/>
      <c r="AU139" s="7"/>
      <c r="AV139" s="7"/>
      <c r="BB139" s="7"/>
      <c r="BC139" s="7"/>
      <c r="BI139" s="7"/>
      <c r="BJ139" s="7"/>
      <c r="BP139" s="7"/>
      <c r="BQ139" s="7"/>
      <c r="BW139" s="7"/>
      <c r="BX139" s="7"/>
    </row>
    <row r="140" ht="15.75" hidden="1" customHeight="1">
      <c r="A140" s="5" t="s">
        <v>774</v>
      </c>
      <c r="B140" s="5" t="s">
        <v>772</v>
      </c>
      <c r="C140" s="5" t="s">
        <v>44</v>
      </c>
      <c r="D140" s="5" t="s">
        <v>177</v>
      </c>
      <c r="E140" s="5" t="s">
        <v>145</v>
      </c>
      <c r="F140" s="5">
        <v>1.6</v>
      </c>
      <c r="L140" s="7"/>
      <c r="M140" s="7"/>
      <c r="S140" s="7"/>
      <c r="T140" s="7"/>
      <c r="Z140" s="7"/>
      <c r="AA140" s="7"/>
      <c r="AG140" s="7"/>
      <c r="AH140" s="7"/>
      <c r="AI140" s="6"/>
      <c r="AJ140" s="6"/>
      <c r="AN140" s="7"/>
      <c r="AO140" s="7"/>
      <c r="AU140" s="7"/>
      <c r="AV140" s="7"/>
      <c r="BB140" s="7"/>
      <c r="BC140" s="7"/>
      <c r="BI140" s="7"/>
      <c r="BJ140" s="7"/>
      <c r="BP140" s="7"/>
      <c r="BQ140" s="7"/>
      <c r="BW140" s="7"/>
      <c r="BX140" s="7"/>
    </row>
    <row r="141" ht="15.75" hidden="1" customHeight="1">
      <c r="A141" s="5" t="s">
        <v>778</v>
      </c>
      <c r="B141" s="10" t="s">
        <v>776</v>
      </c>
      <c r="C141" s="5" t="s">
        <v>44</v>
      </c>
      <c r="D141" s="5" t="s">
        <v>145</v>
      </c>
      <c r="E141" s="5" t="s">
        <v>145</v>
      </c>
      <c r="F141" s="5">
        <v>1.0</v>
      </c>
      <c r="L141" s="7"/>
      <c r="M141" s="7"/>
      <c r="S141" s="7"/>
      <c r="T141" s="7"/>
      <c r="Z141" s="7"/>
      <c r="AA141" s="7"/>
      <c r="AG141" s="7"/>
      <c r="AH141" s="7"/>
      <c r="AJ141" s="11"/>
      <c r="AN141" s="7"/>
      <c r="AO141" s="7"/>
      <c r="AU141" s="7"/>
      <c r="AV141" s="7"/>
      <c r="BB141" s="7"/>
      <c r="BC141" s="7"/>
      <c r="BI141" s="7"/>
      <c r="BJ141" s="7"/>
      <c r="BP141" s="7"/>
      <c r="BQ141" s="7"/>
      <c r="BW141" s="7"/>
      <c r="BX141" s="7"/>
    </row>
    <row r="142" ht="15.75" hidden="1" customHeight="1">
      <c r="A142" s="5" t="s">
        <v>782</v>
      </c>
      <c r="B142" s="10" t="s">
        <v>780</v>
      </c>
      <c r="C142" s="5" t="s">
        <v>48</v>
      </c>
      <c r="D142" s="5" t="s">
        <v>145</v>
      </c>
      <c r="E142" s="5" t="s">
        <v>145</v>
      </c>
      <c r="F142" s="5">
        <v>1.0</v>
      </c>
      <c r="L142" s="7"/>
      <c r="M142" s="7"/>
      <c r="S142" s="7"/>
      <c r="T142" s="7"/>
      <c r="Z142" s="7"/>
      <c r="AA142" s="7"/>
      <c r="AG142" s="7"/>
      <c r="AH142" s="7"/>
      <c r="AJ142" s="11"/>
      <c r="AN142" s="7"/>
      <c r="AO142" s="7"/>
      <c r="AU142" s="7"/>
      <c r="AV142" s="7"/>
      <c r="BB142" s="7"/>
      <c r="BC142" s="7"/>
      <c r="BI142" s="7"/>
      <c r="BJ142" s="7"/>
      <c r="BP142" s="7"/>
      <c r="BQ142" s="7"/>
      <c r="BW142" s="7"/>
      <c r="BX142" s="7"/>
    </row>
    <row r="143" ht="15.75" hidden="1" customHeight="1">
      <c r="A143" s="5" t="s">
        <v>785</v>
      </c>
      <c r="B143" s="5" t="s">
        <v>784</v>
      </c>
      <c r="C143" s="5" t="s">
        <v>40</v>
      </c>
      <c r="D143" s="5" t="s">
        <v>145</v>
      </c>
      <c r="E143" s="5" t="s">
        <v>145</v>
      </c>
      <c r="F143" s="5">
        <v>40.0</v>
      </c>
      <c r="L143" s="7"/>
      <c r="M143" s="7"/>
      <c r="S143" s="7"/>
      <c r="T143" s="7"/>
      <c r="Z143" s="7"/>
      <c r="AA143" s="7"/>
      <c r="AG143" s="7"/>
      <c r="AH143" s="7"/>
      <c r="AJ143" s="6"/>
      <c r="AN143" s="7"/>
      <c r="AO143" s="7"/>
      <c r="AU143" s="7"/>
      <c r="AV143" s="7"/>
      <c r="BB143" s="7"/>
      <c r="BC143" s="7"/>
      <c r="BI143" s="7"/>
      <c r="BJ143" s="7"/>
      <c r="BP143" s="7"/>
      <c r="BQ143" s="7"/>
      <c r="BW143" s="7"/>
      <c r="BX143" s="7"/>
    </row>
    <row r="144" ht="15.75" hidden="1" customHeight="1">
      <c r="A144" s="5" t="s">
        <v>790</v>
      </c>
      <c r="B144" s="10" t="s">
        <v>787</v>
      </c>
      <c r="C144" s="5" t="s">
        <v>48</v>
      </c>
      <c r="D144" s="5" t="s">
        <v>145</v>
      </c>
      <c r="E144" s="5" t="s">
        <v>789</v>
      </c>
      <c r="F144" s="5">
        <v>1.0</v>
      </c>
      <c r="L144" s="7"/>
      <c r="M144" s="7"/>
      <c r="S144" s="7"/>
      <c r="T144" s="7"/>
      <c r="Z144" s="7"/>
      <c r="AA144" s="7"/>
      <c r="AG144" s="7"/>
      <c r="AH144" s="7"/>
      <c r="AJ144" s="11"/>
      <c r="AK144" s="11"/>
      <c r="AN144" s="7"/>
      <c r="AO144" s="7"/>
      <c r="AU144" s="7"/>
      <c r="AV144" s="7"/>
      <c r="BB144" s="7"/>
      <c r="BC144" s="7"/>
      <c r="BI144" s="7"/>
      <c r="BJ144" s="7"/>
      <c r="BP144" s="7"/>
      <c r="BQ144" s="7"/>
      <c r="BW144" s="7"/>
      <c r="BX144" s="7"/>
    </row>
    <row r="145" ht="15.75" customHeight="1">
      <c r="A145" s="5" t="s">
        <v>794</v>
      </c>
      <c r="B145" s="10" t="s">
        <v>792</v>
      </c>
      <c r="C145" s="5" t="s">
        <v>30</v>
      </c>
      <c r="D145" s="5" t="s">
        <v>789</v>
      </c>
      <c r="E145" s="5" t="s">
        <v>789</v>
      </c>
      <c r="F145" s="5">
        <v>1.0</v>
      </c>
      <c r="L145" s="7"/>
      <c r="M145" s="7"/>
      <c r="S145" s="7"/>
      <c r="T145" s="7"/>
      <c r="Z145" s="7"/>
      <c r="AA145" s="7"/>
      <c r="AG145" s="7"/>
      <c r="AH145" s="7"/>
      <c r="AK145" s="11"/>
      <c r="AN145" s="7"/>
      <c r="AO145" s="7"/>
      <c r="AU145" s="7"/>
      <c r="AV145" s="7"/>
      <c r="BB145" s="7"/>
      <c r="BC145" s="7"/>
      <c r="BI145" s="7"/>
      <c r="BJ145" s="7"/>
      <c r="BP145" s="7"/>
      <c r="BQ145" s="7"/>
      <c r="BW145" s="7"/>
      <c r="BX145" s="7"/>
    </row>
    <row r="146" ht="15.75" hidden="1" customHeight="1">
      <c r="A146" s="5" t="s">
        <v>800</v>
      </c>
      <c r="B146" s="10" t="s">
        <v>796</v>
      </c>
      <c r="C146" s="5" t="s">
        <v>40</v>
      </c>
      <c r="D146" s="5" t="s">
        <v>798</v>
      </c>
      <c r="E146" s="5" t="s">
        <v>799</v>
      </c>
      <c r="F146" s="5">
        <v>1.0</v>
      </c>
      <c r="L146" s="7"/>
      <c r="M146" s="7"/>
      <c r="S146" s="7"/>
      <c r="T146" s="7"/>
      <c r="Z146" s="7"/>
      <c r="AA146" s="7"/>
      <c r="AG146" s="7"/>
      <c r="AH146" s="7"/>
      <c r="AL146" s="11"/>
      <c r="AM146" s="11"/>
      <c r="AN146" s="7"/>
      <c r="AO146" s="7"/>
      <c r="AU146" s="7"/>
      <c r="AV146" s="7"/>
      <c r="BB146" s="7"/>
      <c r="BC146" s="7"/>
      <c r="BI146" s="7"/>
      <c r="BJ146" s="7"/>
      <c r="BP146" s="7"/>
      <c r="BQ146" s="7"/>
      <c r="BW146" s="7"/>
      <c r="BX146" s="7"/>
    </row>
    <row r="147" ht="15.75" hidden="1" customHeight="1">
      <c r="A147" s="5" t="s">
        <v>805</v>
      </c>
      <c r="B147" s="10" t="s">
        <v>802</v>
      </c>
      <c r="C147" s="5" t="s">
        <v>35</v>
      </c>
      <c r="D147" s="5" t="s">
        <v>798</v>
      </c>
      <c r="E147" s="5" t="s">
        <v>804</v>
      </c>
      <c r="F147" s="5">
        <v>0.0</v>
      </c>
      <c r="L147" s="7"/>
      <c r="M147" s="7"/>
      <c r="S147" s="7"/>
      <c r="T147" s="7"/>
      <c r="Z147" s="7"/>
      <c r="AA147" s="7"/>
      <c r="AG147" s="7"/>
      <c r="AH147" s="7"/>
      <c r="AL147" s="11"/>
      <c r="AM147" s="11"/>
      <c r="AN147" s="11"/>
      <c r="AO147" s="7"/>
      <c r="AU147" s="7"/>
      <c r="AV147" s="7"/>
      <c r="BB147" s="7"/>
      <c r="BC147" s="7"/>
      <c r="BI147" s="7"/>
      <c r="BJ147" s="7"/>
      <c r="BP147" s="7"/>
      <c r="BQ147" s="7"/>
      <c r="BW147" s="7"/>
      <c r="BX147" s="7"/>
    </row>
    <row r="148" ht="15.75" hidden="1" customHeight="1">
      <c r="A148" s="5" t="s">
        <v>807</v>
      </c>
      <c r="B148" s="10" t="s">
        <v>802</v>
      </c>
      <c r="C148" s="5" t="s">
        <v>40</v>
      </c>
      <c r="D148" s="5" t="s">
        <v>798</v>
      </c>
      <c r="E148" s="5" t="s">
        <v>804</v>
      </c>
      <c r="F148" s="5">
        <v>0.0</v>
      </c>
      <c r="L148" s="7"/>
      <c r="M148" s="7"/>
      <c r="S148" s="7"/>
      <c r="T148" s="7"/>
      <c r="Z148" s="7"/>
      <c r="AA148" s="7"/>
      <c r="AG148" s="7"/>
      <c r="AH148" s="7"/>
      <c r="AL148" s="11"/>
      <c r="AM148" s="11"/>
      <c r="AN148" s="11"/>
      <c r="AO148" s="7"/>
      <c r="AU148" s="7"/>
      <c r="AV148" s="7"/>
      <c r="BB148" s="7"/>
      <c r="BC148" s="7"/>
      <c r="BI148" s="7"/>
      <c r="BJ148" s="7"/>
      <c r="BP148" s="7"/>
      <c r="BQ148" s="7"/>
      <c r="BW148" s="7"/>
      <c r="BX148" s="7"/>
    </row>
    <row r="149" ht="15.75" hidden="1" customHeight="1">
      <c r="A149" s="5" t="s">
        <v>810</v>
      </c>
      <c r="B149" s="10" t="s">
        <v>809</v>
      </c>
      <c r="C149" s="5" t="s">
        <v>44</v>
      </c>
      <c r="D149" s="5" t="s">
        <v>798</v>
      </c>
      <c r="E149" s="5" t="s">
        <v>804</v>
      </c>
      <c r="F149" s="5">
        <v>0.0</v>
      </c>
      <c r="L149" s="7"/>
      <c r="M149" s="7"/>
      <c r="S149" s="7"/>
      <c r="T149" s="7"/>
      <c r="Z149" s="7"/>
      <c r="AA149" s="7"/>
      <c r="AG149" s="7"/>
      <c r="AH149" s="7"/>
      <c r="AL149" s="11"/>
      <c r="AM149" s="11"/>
      <c r="AN149" s="11"/>
      <c r="AO149" s="7"/>
      <c r="AU149" s="7"/>
      <c r="AV149" s="7"/>
      <c r="BB149" s="7"/>
      <c r="BC149" s="7"/>
      <c r="BI149" s="7"/>
      <c r="BJ149" s="7"/>
      <c r="BP149" s="7"/>
      <c r="BQ149" s="7"/>
      <c r="BW149" s="7"/>
      <c r="BX149" s="7"/>
    </row>
    <row r="150" ht="15.75" hidden="1" customHeight="1">
      <c r="A150" s="5" t="s">
        <v>812</v>
      </c>
      <c r="B150" s="10" t="s">
        <v>809</v>
      </c>
      <c r="C150" s="5" t="s">
        <v>48</v>
      </c>
      <c r="D150" s="5" t="s">
        <v>798</v>
      </c>
      <c r="E150" s="5" t="s">
        <v>804</v>
      </c>
      <c r="F150" s="5">
        <v>0.0</v>
      </c>
      <c r="L150" s="7"/>
      <c r="M150" s="7"/>
      <c r="S150" s="7"/>
      <c r="T150" s="7"/>
      <c r="Z150" s="7"/>
      <c r="AA150" s="7"/>
      <c r="AG150" s="7"/>
      <c r="AH150" s="7"/>
      <c r="AL150" s="11"/>
      <c r="AM150" s="11"/>
      <c r="AN150" s="11"/>
      <c r="AO150" s="7"/>
      <c r="AU150" s="7"/>
      <c r="AV150" s="7"/>
      <c r="BB150" s="7"/>
      <c r="BC150" s="7"/>
      <c r="BI150" s="7"/>
      <c r="BJ150" s="7"/>
      <c r="BP150" s="7"/>
      <c r="BQ150" s="7"/>
      <c r="BW150" s="7"/>
      <c r="BX150" s="7"/>
    </row>
    <row r="151" ht="15.75" customHeight="1">
      <c r="A151" s="5" t="s">
        <v>815</v>
      </c>
      <c r="B151" s="10" t="s">
        <v>814</v>
      </c>
      <c r="C151" s="5" t="s">
        <v>30</v>
      </c>
      <c r="D151" s="5" t="s">
        <v>798</v>
      </c>
      <c r="E151" s="5" t="s">
        <v>804</v>
      </c>
      <c r="F151" s="5">
        <v>0.0</v>
      </c>
      <c r="L151" s="7"/>
      <c r="M151" s="7"/>
      <c r="S151" s="7"/>
      <c r="T151" s="7"/>
      <c r="Z151" s="7"/>
      <c r="AA151" s="7"/>
      <c r="AG151" s="7"/>
      <c r="AH151" s="7"/>
      <c r="AL151" s="11"/>
      <c r="AM151" s="11"/>
      <c r="AN151" s="11"/>
      <c r="AO151" s="7"/>
      <c r="AU151" s="7"/>
      <c r="AV151" s="7"/>
      <c r="BB151" s="7"/>
      <c r="BC151" s="7"/>
      <c r="BI151" s="7"/>
      <c r="BJ151" s="7"/>
      <c r="BP151" s="7"/>
      <c r="BQ151" s="7"/>
      <c r="BW151" s="7"/>
      <c r="BX151" s="7"/>
    </row>
    <row r="152" ht="15.75" hidden="1" customHeight="1">
      <c r="A152" s="5" t="s">
        <v>819</v>
      </c>
      <c r="B152" s="5" t="s">
        <v>817</v>
      </c>
      <c r="C152" s="5" t="s">
        <v>48</v>
      </c>
      <c r="D152" s="5" t="s">
        <v>798</v>
      </c>
      <c r="E152" s="5" t="s">
        <v>37</v>
      </c>
      <c r="F152" s="5">
        <v>8.0</v>
      </c>
      <c r="L152" s="7"/>
      <c r="M152" s="7"/>
      <c r="S152" s="7"/>
      <c r="T152" s="7"/>
      <c r="Z152" s="7"/>
      <c r="AA152" s="7"/>
      <c r="AG152" s="7"/>
      <c r="AH152" s="7"/>
      <c r="AL152" s="6"/>
      <c r="AM152" s="6"/>
      <c r="AN152" s="6"/>
      <c r="AO152" s="6"/>
      <c r="AU152" s="7"/>
      <c r="AV152" s="7"/>
      <c r="BB152" s="7"/>
      <c r="BC152" s="7"/>
      <c r="BI152" s="7"/>
      <c r="BJ152" s="7"/>
      <c r="BP152" s="7"/>
      <c r="BQ152" s="7"/>
      <c r="BW152" s="7"/>
      <c r="BX152" s="7"/>
    </row>
    <row r="153" ht="15.75" customHeight="1">
      <c r="A153" s="5" t="s">
        <v>822</v>
      </c>
      <c r="B153" s="5" t="s">
        <v>821</v>
      </c>
      <c r="C153" s="5" t="s">
        <v>30</v>
      </c>
      <c r="D153" s="5" t="s">
        <v>799</v>
      </c>
      <c r="E153" s="5" t="s">
        <v>804</v>
      </c>
      <c r="F153" s="5">
        <v>36.0</v>
      </c>
      <c r="L153" s="7"/>
      <c r="M153" s="7"/>
      <c r="S153" s="7"/>
      <c r="T153" s="7"/>
      <c r="Z153" s="7"/>
      <c r="AA153" s="7"/>
      <c r="AG153" s="7"/>
      <c r="AH153" s="7"/>
      <c r="AM153" s="6"/>
      <c r="AN153" s="6"/>
      <c r="AO153" s="7"/>
      <c r="AU153" s="7"/>
      <c r="AV153" s="7"/>
      <c r="BB153" s="7"/>
      <c r="BC153" s="7"/>
      <c r="BI153" s="7"/>
      <c r="BJ153" s="7"/>
      <c r="BP153" s="7"/>
      <c r="BQ153" s="7"/>
      <c r="BW153" s="7"/>
      <c r="BX153" s="7"/>
    </row>
    <row r="154" ht="15.75" customHeight="1">
      <c r="A154" s="5" t="s">
        <v>826</v>
      </c>
      <c r="B154" s="10" t="s">
        <v>824</v>
      </c>
      <c r="C154" s="5" t="s">
        <v>30</v>
      </c>
      <c r="D154" s="5" t="s">
        <v>37</v>
      </c>
      <c r="E154" s="5" t="s">
        <v>37</v>
      </c>
      <c r="F154" s="5">
        <v>0.0</v>
      </c>
      <c r="L154" s="7"/>
      <c r="M154" s="7"/>
      <c r="S154" s="7"/>
      <c r="T154" s="7"/>
      <c r="Z154" s="7"/>
      <c r="AA154" s="7"/>
      <c r="AG154" s="7"/>
      <c r="AH154" s="7"/>
      <c r="AN154" s="7"/>
      <c r="AO154" s="11"/>
      <c r="AU154" s="7"/>
      <c r="AV154" s="7"/>
      <c r="BB154" s="7"/>
      <c r="BC154" s="7"/>
      <c r="BI154" s="7"/>
      <c r="BJ154" s="7"/>
      <c r="BP154" s="7"/>
      <c r="BQ154" s="7"/>
      <c r="BW154" s="7"/>
      <c r="BX154" s="7"/>
    </row>
    <row r="155" ht="15.75" hidden="1" customHeight="1">
      <c r="A155" s="5" t="s">
        <v>831</v>
      </c>
      <c r="B155" s="5" t="s">
        <v>828</v>
      </c>
      <c r="C155" s="5" t="s">
        <v>40</v>
      </c>
      <c r="D155" s="5" t="s">
        <v>118</v>
      </c>
      <c r="E155" s="5" t="s">
        <v>118</v>
      </c>
      <c r="F155" s="5">
        <v>7.4</v>
      </c>
      <c r="L155" s="7"/>
      <c r="M155" s="7"/>
      <c r="S155" s="7"/>
      <c r="T155" s="7"/>
      <c r="Z155" s="7"/>
      <c r="AA155" s="7"/>
      <c r="AG155" s="7"/>
      <c r="AH155" s="7"/>
      <c r="AN155" s="7"/>
      <c r="AO155" s="7"/>
      <c r="AP155" s="6"/>
      <c r="AU155" s="7"/>
      <c r="AV155" s="7"/>
      <c r="BB155" s="7"/>
      <c r="BC155" s="7"/>
      <c r="BI155" s="7"/>
      <c r="BJ155" s="7"/>
      <c r="BP155" s="7"/>
      <c r="BQ155" s="7"/>
      <c r="BW155" s="7"/>
      <c r="BX155" s="7"/>
    </row>
    <row r="156" ht="15.75" hidden="1" customHeight="1">
      <c r="A156" s="5" t="s">
        <v>837</v>
      </c>
      <c r="B156" s="5" t="s">
        <v>833</v>
      </c>
      <c r="C156" s="5" t="s">
        <v>48</v>
      </c>
      <c r="D156" s="5" t="s">
        <v>118</v>
      </c>
      <c r="E156" s="5" t="s">
        <v>835</v>
      </c>
      <c r="F156" s="5">
        <v>8.6</v>
      </c>
      <c r="L156" s="7"/>
      <c r="M156" s="7"/>
      <c r="S156" s="7"/>
      <c r="T156" s="7"/>
      <c r="Z156" s="7"/>
      <c r="AA156" s="7"/>
      <c r="AG156" s="7"/>
      <c r="AH156" s="7"/>
      <c r="AN156" s="7"/>
      <c r="AO156" s="7"/>
      <c r="AP156" s="6"/>
      <c r="AQ156" s="6"/>
      <c r="AU156" s="7"/>
      <c r="AV156" s="7"/>
      <c r="BB156" s="7"/>
      <c r="BC156" s="7"/>
      <c r="BI156" s="7"/>
      <c r="BJ156" s="7"/>
      <c r="BP156" s="7"/>
      <c r="BQ156" s="7"/>
      <c r="BW156" s="7"/>
      <c r="BX156" s="7"/>
    </row>
    <row r="157" ht="15.75" hidden="1" customHeight="1">
      <c r="A157" s="5" t="s">
        <v>841</v>
      </c>
      <c r="B157" s="5" t="s">
        <v>839</v>
      </c>
      <c r="C157" s="5" t="s">
        <v>40</v>
      </c>
      <c r="D157" s="5" t="s">
        <v>118</v>
      </c>
      <c r="E157" s="5" t="s">
        <v>835</v>
      </c>
      <c r="F157" s="5">
        <v>6.4</v>
      </c>
      <c r="L157" s="7"/>
      <c r="M157" s="7"/>
      <c r="S157" s="7"/>
      <c r="T157" s="7"/>
      <c r="Z157" s="7"/>
      <c r="AA157" s="7"/>
      <c r="AG157" s="7"/>
      <c r="AH157" s="7"/>
      <c r="AN157" s="7"/>
      <c r="AO157" s="7"/>
      <c r="AP157" s="6"/>
      <c r="AQ157" s="6"/>
      <c r="AU157" s="7"/>
      <c r="AV157" s="7"/>
      <c r="BB157" s="7"/>
      <c r="BC157" s="7"/>
      <c r="BI157" s="7"/>
      <c r="BJ157" s="7"/>
      <c r="BP157" s="7"/>
      <c r="BQ157" s="7"/>
      <c r="BW157" s="7"/>
      <c r="BX157" s="7"/>
    </row>
    <row r="158" ht="15.75" hidden="1" customHeight="1">
      <c r="A158" s="5" t="s">
        <v>845</v>
      </c>
      <c r="B158" s="5" t="s">
        <v>843</v>
      </c>
      <c r="C158" s="5" t="s">
        <v>35</v>
      </c>
      <c r="D158" s="5" t="s">
        <v>118</v>
      </c>
      <c r="E158" s="5" t="s">
        <v>835</v>
      </c>
      <c r="F158" s="5">
        <v>4.7</v>
      </c>
      <c r="L158" s="7"/>
      <c r="M158" s="7"/>
      <c r="S158" s="7"/>
      <c r="T158" s="7"/>
      <c r="Z158" s="7"/>
      <c r="AA158" s="7"/>
      <c r="AG158" s="7"/>
      <c r="AH158" s="7"/>
      <c r="AN158" s="7"/>
      <c r="AO158" s="7"/>
      <c r="AP158" s="6"/>
      <c r="AQ158" s="6"/>
      <c r="AU158" s="7"/>
      <c r="AV158" s="7"/>
      <c r="BB158" s="7"/>
      <c r="BC158" s="7"/>
      <c r="BI158" s="7"/>
      <c r="BJ158" s="7"/>
      <c r="BP158" s="7"/>
      <c r="BQ158" s="7"/>
      <c r="BW158" s="7"/>
      <c r="BX158" s="7"/>
    </row>
    <row r="159" ht="15.75" hidden="1" customHeight="1">
      <c r="A159" s="5" t="s">
        <v>849</v>
      </c>
      <c r="B159" s="5" t="s">
        <v>847</v>
      </c>
      <c r="C159" s="5" t="s">
        <v>44</v>
      </c>
      <c r="D159" s="5" t="s">
        <v>118</v>
      </c>
      <c r="E159" s="5" t="s">
        <v>835</v>
      </c>
      <c r="F159" s="5">
        <v>8.8</v>
      </c>
      <c r="L159" s="7"/>
      <c r="M159" s="7"/>
      <c r="S159" s="7"/>
      <c r="T159" s="7"/>
      <c r="Z159" s="7"/>
      <c r="AA159" s="7"/>
      <c r="AG159" s="7"/>
      <c r="AH159" s="7"/>
      <c r="AN159" s="7"/>
      <c r="AO159" s="7"/>
      <c r="AP159" s="6"/>
      <c r="AQ159" s="6"/>
      <c r="AU159" s="7"/>
      <c r="AV159" s="7"/>
      <c r="BB159" s="7"/>
      <c r="BC159" s="7"/>
      <c r="BI159" s="7"/>
      <c r="BJ159" s="7"/>
      <c r="BP159" s="7"/>
      <c r="BQ159" s="7"/>
      <c r="BW159" s="7"/>
      <c r="BX159" s="7"/>
    </row>
    <row r="160" ht="15.75" customHeight="1">
      <c r="A160" s="5" t="s">
        <v>854</v>
      </c>
      <c r="B160" s="5" t="s">
        <v>851</v>
      </c>
      <c r="C160" s="5" t="s">
        <v>30</v>
      </c>
      <c r="D160" s="5" t="s">
        <v>118</v>
      </c>
      <c r="E160" s="5" t="s">
        <v>853</v>
      </c>
      <c r="F160" s="5">
        <v>4.9</v>
      </c>
      <c r="L160" s="7"/>
      <c r="M160" s="7"/>
      <c r="S160" s="7"/>
      <c r="T160" s="7"/>
      <c r="Z160" s="7"/>
      <c r="AA160" s="7"/>
      <c r="AG160" s="7"/>
      <c r="AH160" s="7"/>
      <c r="AN160" s="7"/>
      <c r="AO160" s="7"/>
      <c r="AP160" s="6"/>
      <c r="AQ160" s="6"/>
      <c r="AR160" s="6"/>
      <c r="AS160" s="6"/>
      <c r="AU160" s="7"/>
      <c r="AV160" s="7"/>
      <c r="BB160" s="7"/>
      <c r="BC160" s="7"/>
      <c r="BI160" s="7"/>
      <c r="BJ160" s="7"/>
      <c r="BP160" s="7"/>
      <c r="BQ160" s="7"/>
      <c r="BW160" s="7"/>
      <c r="BX160" s="7"/>
    </row>
    <row r="161" ht="15.75" hidden="1" customHeight="1">
      <c r="A161" s="5" t="s">
        <v>859</v>
      </c>
      <c r="B161" s="5" t="s">
        <v>856</v>
      </c>
      <c r="C161" s="5" t="s">
        <v>40</v>
      </c>
      <c r="D161" s="5" t="s">
        <v>835</v>
      </c>
      <c r="E161" s="5" t="s">
        <v>858</v>
      </c>
      <c r="F161" s="5">
        <v>5.5</v>
      </c>
      <c r="L161" s="7"/>
      <c r="M161" s="7"/>
      <c r="S161" s="7"/>
      <c r="T161" s="7"/>
      <c r="Z161" s="7"/>
      <c r="AA161" s="7"/>
      <c r="AG161" s="7"/>
      <c r="AH161" s="7"/>
      <c r="AN161" s="7"/>
      <c r="AO161" s="7"/>
      <c r="AQ161" s="6"/>
      <c r="AR161" s="6"/>
      <c r="AU161" s="7"/>
      <c r="AV161" s="7"/>
      <c r="BB161" s="7"/>
      <c r="BC161" s="7"/>
      <c r="BI161" s="7"/>
      <c r="BJ161" s="7"/>
      <c r="BP161" s="7"/>
      <c r="BQ161" s="7"/>
      <c r="BW161" s="7"/>
      <c r="BX161" s="7"/>
    </row>
    <row r="162" ht="15.75" hidden="1" customHeight="1">
      <c r="A162" s="5" t="s">
        <v>863</v>
      </c>
      <c r="B162" s="5" t="s">
        <v>861</v>
      </c>
      <c r="C162" s="5" t="s">
        <v>48</v>
      </c>
      <c r="D162" s="5" t="s">
        <v>835</v>
      </c>
      <c r="E162" s="5" t="s">
        <v>858</v>
      </c>
      <c r="F162" s="5">
        <v>7.2</v>
      </c>
      <c r="L162" s="7"/>
      <c r="M162" s="7"/>
      <c r="S162" s="7"/>
      <c r="T162" s="7"/>
      <c r="Z162" s="7"/>
      <c r="AA162" s="7"/>
      <c r="AG162" s="7"/>
      <c r="AH162" s="7"/>
      <c r="AN162" s="7"/>
      <c r="AO162" s="7"/>
      <c r="AQ162" s="6"/>
      <c r="AR162" s="6"/>
      <c r="AU162" s="7"/>
      <c r="AV162" s="7"/>
      <c r="BB162" s="7"/>
      <c r="BC162" s="7"/>
      <c r="BI162" s="7"/>
      <c r="BJ162" s="7"/>
      <c r="BP162" s="7"/>
      <c r="BQ162" s="7"/>
      <c r="BW162" s="7"/>
      <c r="BX162" s="7"/>
    </row>
    <row r="163" ht="15.75" hidden="1" customHeight="1">
      <c r="A163" s="5" t="s">
        <v>867</v>
      </c>
      <c r="B163" s="5" t="s">
        <v>865</v>
      </c>
      <c r="C163" s="5" t="s">
        <v>35</v>
      </c>
      <c r="D163" s="5" t="s">
        <v>835</v>
      </c>
      <c r="E163" s="5" t="s">
        <v>858</v>
      </c>
      <c r="F163" s="5">
        <v>5.3</v>
      </c>
      <c r="L163" s="7"/>
      <c r="M163" s="7"/>
      <c r="S163" s="7"/>
      <c r="T163" s="7"/>
      <c r="Z163" s="7"/>
      <c r="AA163" s="7"/>
      <c r="AG163" s="7"/>
      <c r="AH163" s="7"/>
      <c r="AN163" s="7"/>
      <c r="AO163" s="7"/>
      <c r="AQ163" s="6"/>
      <c r="AR163" s="6"/>
      <c r="AU163" s="7"/>
      <c r="AV163" s="7"/>
      <c r="BB163" s="7"/>
      <c r="BC163" s="7"/>
      <c r="BI163" s="7"/>
      <c r="BJ163" s="7"/>
      <c r="BP163" s="7"/>
      <c r="BQ163" s="7"/>
      <c r="BW163" s="7"/>
      <c r="BX163" s="7"/>
    </row>
    <row r="164" ht="15.75" hidden="1" customHeight="1">
      <c r="A164" s="5" t="s">
        <v>871</v>
      </c>
      <c r="B164" s="5" t="s">
        <v>869</v>
      </c>
      <c r="C164" s="5" t="s">
        <v>44</v>
      </c>
      <c r="D164" s="5" t="s">
        <v>835</v>
      </c>
      <c r="E164" s="5" t="s">
        <v>858</v>
      </c>
      <c r="F164" s="5">
        <v>7.7</v>
      </c>
      <c r="L164" s="7"/>
      <c r="M164" s="7"/>
      <c r="S164" s="7"/>
      <c r="T164" s="7"/>
      <c r="Z164" s="7"/>
      <c r="AA164" s="7"/>
      <c r="AG164" s="7"/>
      <c r="AH164" s="7"/>
      <c r="AN164" s="7"/>
      <c r="AO164" s="7"/>
      <c r="AQ164" s="6"/>
      <c r="AR164" s="6"/>
      <c r="AU164" s="7"/>
      <c r="AV164" s="7"/>
      <c r="BB164" s="7"/>
      <c r="BC164" s="7"/>
      <c r="BI164" s="7"/>
      <c r="BJ164" s="7"/>
      <c r="BP164" s="7"/>
      <c r="BQ164" s="7"/>
      <c r="BW164" s="7"/>
      <c r="BX164" s="7"/>
    </row>
    <row r="165" ht="15.75" customHeight="1">
      <c r="A165" s="5" t="s">
        <v>874</v>
      </c>
      <c r="B165" s="5" t="s">
        <v>873</v>
      </c>
      <c r="C165" s="5" t="s">
        <v>30</v>
      </c>
      <c r="D165" s="5" t="s">
        <v>835</v>
      </c>
      <c r="E165" s="5" t="s">
        <v>858</v>
      </c>
      <c r="F165" s="5">
        <v>32.0</v>
      </c>
      <c r="L165" s="7"/>
      <c r="M165" s="7"/>
      <c r="S165" s="7"/>
      <c r="T165" s="7"/>
      <c r="Z165" s="7"/>
      <c r="AA165" s="7"/>
      <c r="AG165" s="7"/>
      <c r="AH165" s="7"/>
      <c r="AN165" s="7"/>
      <c r="AO165" s="7"/>
      <c r="AQ165" s="6"/>
      <c r="AR165" s="6"/>
      <c r="AU165" s="7"/>
      <c r="AV165" s="7"/>
      <c r="BB165" s="7"/>
      <c r="BC165" s="7"/>
      <c r="BI165" s="7"/>
      <c r="BJ165" s="7"/>
      <c r="BP165" s="7"/>
      <c r="BQ165" s="7"/>
      <c r="BW165" s="7"/>
      <c r="BX165" s="7"/>
    </row>
    <row r="166" ht="15.75" hidden="1" customHeight="1">
      <c r="A166" s="5" t="s">
        <v>878</v>
      </c>
      <c r="B166" s="5" t="s">
        <v>876</v>
      </c>
      <c r="C166" s="5" t="s">
        <v>35</v>
      </c>
      <c r="D166" s="5" t="s">
        <v>858</v>
      </c>
      <c r="E166" s="5" t="s">
        <v>853</v>
      </c>
      <c r="F166" s="5">
        <v>4.3</v>
      </c>
      <c r="L166" s="7"/>
      <c r="M166" s="7"/>
      <c r="S166" s="7"/>
      <c r="T166" s="7"/>
      <c r="Z166" s="7"/>
      <c r="AA166" s="7"/>
      <c r="AG166" s="7"/>
      <c r="AH166" s="7"/>
      <c r="AN166" s="7"/>
      <c r="AO166" s="7"/>
      <c r="AR166" s="6"/>
      <c r="AS166" s="6"/>
      <c r="AU166" s="7"/>
      <c r="AV166" s="7"/>
      <c r="BB166" s="7"/>
      <c r="BC166" s="7"/>
      <c r="BI166" s="7"/>
      <c r="BJ166" s="7"/>
      <c r="BP166" s="7"/>
      <c r="BQ166" s="7"/>
      <c r="BW166" s="7"/>
      <c r="BX166" s="7"/>
    </row>
    <row r="167" ht="15.75" hidden="1" customHeight="1">
      <c r="A167" s="5" t="s">
        <v>882</v>
      </c>
      <c r="B167" s="5" t="s">
        <v>880</v>
      </c>
      <c r="C167" s="5" t="s">
        <v>40</v>
      </c>
      <c r="D167" s="5" t="s">
        <v>858</v>
      </c>
      <c r="E167" s="5" t="s">
        <v>853</v>
      </c>
      <c r="F167" s="5">
        <v>4.8</v>
      </c>
      <c r="L167" s="7"/>
      <c r="M167" s="7"/>
      <c r="S167" s="7"/>
      <c r="T167" s="7"/>
      <c r="Z167" s="7"/>
      <c r="AA167" s="7"/>
      <c r="AG167" s="7"/>
      <c r="AH167" s="7"/>
      <c r="AN167" s="7"/>
      <c r="AO167" s="7"/>
      <c r="AR167" s="6"/>
      <c r="AS167" s="6"/>
      <c r="AU167" s="7"/>
      <c r="AV167" s="7"/>
      <c r="BB167" s="7"/>
      <c r="BC167" s="7"/>
      <c r="BI167" s="7"/>
      <c r="BJ167" s="7"/>
      <c r="BP167" s="7"/>
      <c r="BQ167" s="7"/>
      <c r="BW167" s="7"/>
      <c r="BX167" s="7"/>
    </row>
    <row r="168" ht="15.75" hidden="1" customHeight="1">
      <c r="A168" s="5" t="s">
        <v>887</v>
      </c>
      <c r="B168" s="5" t="s">
        <v>884</v>
      </c>
      <c r="C168" s="5" t="s">
        <v>48</v>
      </c>
      <c r="D168" s="5" t="s">
        <v>858</v>
      </c>
      <c r="E168" s="5" t="s">
        <v>886</v>
      </c>
      <c r="F168" s="5">
        <v>5.8</v>
      </c>
      <c r="L168" s="7"/>
      <c r="M168" s="7"/>
      <c r="S168" s="7"/>
      <c r="T168" s="7"/>
      <c r="Z168" s="7"/>
      <c r="AA168" s="7"/>
      <c r="AG168" s="7"/>
      <c r="AH168" s="7"/>
      <c r="AN168" s="7"/>
      <c r="AO168" s="7"/>
      <c r="AR168" s="6"/>
      <c r="AS168" s="6"/>
      <c r="AT168" s="6"/>
      <c r="AU168" s="7"/>
      <c r="AV168" s="7"/>
      <c r="BB168" s="7"/>
      <c r="BC168" s="7"/>
      <c r="BI168" s="7"/>
      <c r="BJ168" s="7"/>
      <c r="BP168" s="7"/>
      <c r="BQ168" s="7"/>
      <c r="BW168" s="7"/>
      <c r="BX168" s="7"/>
    </row>
    <row r="169" ht="15.75" hidden="1" customHeight="1">
      <c r="A169" s="5" t="s">
        <v>891</v>
      </c>
      <c r="B169" s="5" t="s">
        <v>889</v>
      </c>
      <c r="C169" s="5" t="s">
        <v>44</v>
      </c>
      <c r="D169" s="5" t="s">
        <v>858</v>
      </c>
      <c r="E169" s="5" t="s">
        <v>886</v>
      </c>
      <c r="F169" s="5">
        <v>5.7</v>
      </c>
      <c r="L169" s="7"/>
      <c r="M169" s="7"/>
      <c r="S169" s="7"/>
      <c r="T169" s="7"/>
      <c r="Z169" s="7"/>
      <c r="AA169" s="7"/>
      <c r="AG169" s="7"/>
      <c r="AH169" s="7"/>
      <c r="AN169" s="7"/>
      <c r="AO169" s="7"/>
      <c r="AR169" s="6"/>
      <c r="AS169" s="6"/>
      <c r="AT169" s="6"/>
      <c r="AU169" s="7"/>
      <c r="AV169" s="7"/>
      <c r="BB169" s="7"/>
      <c r="BC169" s="7"/>
      <c r="BI169" s="7"/>
      <c r="BJ169" s="7"/>
      <c r="BP169" s="7"/>
      <c r="BQ169" s="7"/>
      <c r="BW169" s="7"/>
      <c r="BX169" s="7"/>
    </row>
    <row r="170" ht="15.75" hidden="1" customHeight="1">
      <c r="A170" s="5" t="s">
        <v>895</v>
      </c>
      <c r="B170" s="5" t="s">
        <v>893</v>
      </c>
      <c r="C170" s="5" t="s">
        <v>40</v>
      </c>
      <c r="D170" s="5" t="s">
        <v>853</v>
      </c>
      <c r="E170" s="5" t="s">
        <v>853</v>
      </c>
      <c r="F170" s="5">
        <v>4.5</v>
      </c>
      <c r="L170" s="7"/>
      <c r="M170" s="7"/>
      <c r="S170" s="7"/>
      <c r="T170" s="7"/>
      <c r="Z170" s="7"/>
      <c r="AA170" s="7"/>
      <c r="AG170" s="7"/>
      <c r="AH170" s="7"/>
      <c r="AN170" s="7"/>
      <c r="AO170" s="7"/>
      <c r="AS170" s="6"/>
      <c r="AU170" s="7"/>
      <c r="AV170" s="7"/>
      <c r="BB170" s="7"/>
      <c r="BC170" s="7"/>
      <c r="BI170" s="7"/>
      <c r="BJ170" s="7"/>
      <c r="BP170" s="7"/>
      <c r="BQ170" s="7"/>
      <c r="BW170" s="7"/>
      <c r="BX170" s="7"/>
    </row>
    <row r="171" ht="15.75" hidden="1" customHeight="1">
      <c r="A171" s="5" t="s">
        <v>899</v>
      </c>
      <c r="B171" s="5" t="s">
        <v>897</v>
      </c>
      <c r="C171" s="5" t="s">
        <v>40</v>
      </c>
      <c r="D171" s="5" t="s">
        <v>853</v>
      </c>
      <c r="E171" s="5" t="s">
        <v>886</v>
      </c>
      <c r="F171" s="5">
        <v>3.9</v>
      </c>
      <c r="L171" s="7"/>
      <c r="M171" s="7"/>
      <c r="S171" s="7"/>
      <c r="T171" s="7"/>
      <c r="Z171" s="7"/>
      <c r="AA171" s="7"/>
      <c r="AG171" s="7"/>
      <c r="AH171" s="7"/>
      <c r="AN171" s="7"/>
      <c r="AO171" s="7"/>
      <c r="AS171" s="6"/>
      <c r="AT171" s="6"/>
      <c r="AU171" s="7"/>
      <c r="AV171" s="7"/>
      <c r="BB171" s="7"/>
      <c r="BC171" s="7"/>
      <c r="BI171" s="7"/>
      <c r="BJ171" s="7"/>
      <c r="BP171" s="7"/>
      <c r="BQ171" s="7"/>
      <c r="BW171" s="7"/>
      <c r="BX171" s="7"/>
    </row>
    <row r="172" ht="15.75" hidden="1" customHeight="1">
      <c r="A172" s="5" t="s">
        <v>904</v>
      </c>
      <c r="B172" s="5" t="s">
        <v>901</v>
      </c>
      <c r="C172" s="5" t="s">
        <v>35</v>
      </c>
      <c r="D172" s="5" t="s">
        <v>853</v>
      </c>
      <c r="E172" s="5" t="s">
        <v>903</v>
      </c>
      <c r="F172" s="5">
        <v>2.7</v>
      </c>
      <c r="L172" s="7"/>
      <c r="M172" s="7"/>
      <c r="S172" s="7"/>
      <c r="T172" s="7"/>
      <c r="Z172" s="7"/>
      <c r="AA172" s="7"/>
      <c r="AG172" s="7"/>
      <c r="AH172" s="7"/>
      <c r="AN172" s="7"/>
      <c r="AO172" s="7"/>
      <c r="AS172" s="6"/>
      <c r="AT172" s="6"/>
      <c r="AU172" s="6"/>
      <c r="AV172" s="7"/>
      <c r="BB172" s="7"/>
      <c r="BC172" s="7"/>
      <c r="BI172" s="7"/>
      <c r="BJ172" s="7"/>
      <c r="BP172" s="7"/>
      <c r="BQ172" s="7"/>
      <c r="BW172" s="7"/>
      <c r="BX172" s="7"/>
    </row>
    <row r="173" ht="15.75" customHeight="1">
      <c r="A173" s="5" t="s">
        <v>908</v>
      </c>
      <c r="B173" s="5" t="s">
        <v>906</v>
      </c>
      <c r="C173" s="5" t="s">
        <v>30</v>
      </c>
      <c r="D173" s="5" t="s">
        <v>853</v>
      </c>
      <c r="E173" s="5" t="s">
        <v>903</v>
      </c>
      <c r="F173" s="5">
        <v>4.9</v>
      </c>
      <c r="L173" s="7"/>
      <c r="M173" s="7"/>
      <c r="S173" s="7"/>
      <c r="T173" s="7"/>
      <c r="Z173" s="7"/>
      <c r="AA173" s="7"/>
      <c r="AG173" s="7"/>
      <c r="AH173" s="7"/>
      <c r="AN173" s="7"/>
      <c r="AO173" s="7"/>
      <c r="AS173" s="6"/>
      <c r="AT173" s="6"/>
      <c r="AU173" s="6"/>
      <c r="AV173" s="7"/>
      <c r="BB173" s="7"/>
      <c r="BC173" s="7"/>
      <c r="BI173" s="7"/>
      <c r="BJ173" s="7"/>
      <c r="BP173" s="7"/>
      <c r="BQ173" s="7"/>
      <c r="BW173" s="7"/>
      <c r="BX173" s="7"/>
    </row>
    <row r="174" ht="15.75" hidden="1" customHeight="1">
      <c r="A174" s="5" t="s">
        <v>912</v>
      </c>
      <c r="B174" s="5" t="s">
        <v>910</v>
      </c>
      <c r="C174" s="5" t="s">
        <v>40</v>
      </c>
      <c r="D174" s="5" t="s">
        <v>886</v>
      </c>
      <c r="E174" s="5" t="s">
        <v>886</v>
      </c>
      <c r="F174" s="5">
        <v>3.2</v>
      </c>
      <c r="L174" s="7"/>
      <c r="M174" s="7"/>
      <c r="S174" s="7"/>
      <c r="T174" s="7"/>
      <c r="Z174" s="7"/>
      <c r="AA174" s="7"/>
      <c r="AG174" s="7"/>
      <c r="AH174" s="7"/>
      <c r="AN174" s="7"/>
      <c r="AO174" s="7"/>
      <c r="AT174" s="6"/>
      <c r="AU174" s="7"/>
      <c r="AV174" s="7"/>
      <c r="BB174" s="7"/>
      <c r="BC174" s="7"/>
      <c r="BI174" s="7"/>
      <c r="BJ174" s="7"/>
      <c r="BP174" s="7"/>
      <c r="BQ174" s="7"/>
      <c r="BW174" s="7"/>
      <c r="BX174" s="7"/>
    </row>
    <row r="175" ht="15.75" hidden="1" customHeight="1">
      <c r="A175" s="5" t="s">
        <v>916</v>
      </c>
      <c r="B175" s="5" t="s">
        <v>914</v>
      </c>
      <c r="C175" s="5" t="s">
        <v>48</v>
      </c>
      <c r="D175" s="5" t="s">
        <v>886</v>
      </c>
      <c r="E175" s="5" t="s">
        <v>903</v>
      </c>
      <c r="F175" s="5">
        <v>4.5</v>
      </c>
      <c r="L175" s="7"/>
      <c r="M175" s="7"/>
      <c r="S175" s="7"/>
      <c r="T175" s="7"/>
      <c r="Z175" s="7"/>
      <c r="AA175" s="7"/>
      <c r="AG175" s="7"/>
      <c r="AH175" s="7"/>
      <c r="AN175" s="7"/>
      <c r="AO175" s="7"/>
      <c r="AT175" s="6"/>
      <c r="AU175" s="6"/>
      <c r="AV175" s="7"/>
      <c r="BB175" s="7"/>
      <c r="BC175" s="7"/>
      <c r="BI175" s="7"/>
      <c r="BJ175" s="7"/>
      <c r="BP175" s="7"/>
      <c r="BQ175" s="7"/>
      <c r="BW175" s="7"/>
      <c r="BX175" s="7"/>
    </row>
    <row r="176" ht="15.75" hidden="1" customHeight="1">
      <c r="A176" s="5" t="s">
        <v>920</v>
      </c>
      <c r="B176" s="5" t="s">
        <v>918</v>
      </c>
      <c r="C176" s="5" t="s">
        <v>44</v>
      </c>
      <c r="D176" s="5" t="s">
        <v>886</v>
      </c>
      <c r="E176" s="5" t="s">
        <v>903</v>
      </c>
      <c r="F176" s="5">
        <v>4.9</v>
      </c>
      <c r="L176" s="7"/>
      <c r="M176" s="7"/>
      <c r="S176" s="7"/>
      <c r="T176" s="7"/>
      <c r="Z176" s="7"/>
      <c r="AA176" s="7"/>
      <c r="AG176" s="7"/>
      <c r="AH176" s="7"/>
      <c r="AN176" s="7"/>
      <c r="AO176" s="7"/>
      <c r="AT176" s="6"/>
      <c r="AU176" s="6"/>
      <c r="AV176" s="7"/>
      <c r="BB176" s="7"/>
      <c r="BC176" s="7"/>
      <c r="BI176" s="7"/>
      <c r="BJ176" s="7"/>
      <c r="BP176" s="7"/>
      <c r="BQ176" s="7"/>
      <c r="BW176" s="7"/>
      <c r="BX176" s="7"/>
    </row>
    <row r="177" ht="15.75" hidden="1" customHeight="1">
      <c r="A177" s="5" t="s">
        <v>925</v>
      </c>
      <c r="B177" s="5" t="s">
        <v>922</v>
      </c>
      <c r="C177" s="5" t="s">
        <v>40</v>
      </c>
      <c r="D177" s="5" t="s">
        <v>886</v>
      </c>
      <c r="E177" s="5" t="s">
        <v>924</v>
      </c>
      <c r="F177" s="5">
        <v>1.6</v>
      </c>
      <c r="L177" s="7"/>
      <c r="M177" s="7"/>
      <c r="S177" s="7"/>
      <c r="T177" s="7"/>
      <c r="Z177" s="7"/>
      <c r="AA177" s="7"/>
      <c r="AG177" s="7"/>
      <c r="AH177" s="7"/>
      <c r="AN177" s="7"/>
      <c r="AO177" s="7"/>
      <c r="AT177" s="6"/>
      <c r="AU177" s="6"/>
      <c r="AV177" s="6"/>
      <c r="BB177" s="7"/>
      <c r="BC177" s="7"/>
      <c r="BI177" s="7"/>
      <c r="BJ177" s="7"/>
      <c r="BP177" s="7"/>
      <c r="BQ177" s="7"/>
      <c r="BW177" s="7"/>
      <c r="BX177" s="7"/>
    </row>
    <row r="178" ht="15.75" hidden="1" customHeight="1">
      <c r="A178" s="5" t="s">
        <v>929</v>
      </c>
      <c r="B178" s="5" t="s">
        <v>927</v>
      </c>
      <c r="C178" s="5" t="s">
        <v>48</v>
      </c>
      <c r="D178" s="5" t="s">
        <v>903</v>
      </c>
      <c r="E178" s="5" t="s">
        <v>924</v>
      </c>
      <c r="F178" s="5">
        <v>3.8</v>
      </c>
      <c r="L178" s="7"/>
      <c r="M178" s="7"/>
      <c r="S178" s="7"/>
      <c r="T178" s="7"/>
      <c r="Z178" s="7"/>
      <c r="AA178" s="7"/>
      <c r="AG178" s="7"/>
      <c r="AH178" s="7"/>
      <c r="AN178" s="7"/>
      <c r="AO178" s="7"/>
      <c r="AU178" s="6"/>
      <c r="AV178" s="6"/>
      <c r="BB178" s="7"/>
      <c r="BC178" s="7"/>
      <c r="BI178" s="7"/>
      <c r="BJ178" s="7"/>
      <c r="BP178" s="7"/>
      <c r="BQ178" s="7"/>
      <c r="BW178" s="7"/>
      <c r="BX178" s="7"/>
    </row>
    <row r="179" ht="15.75" hidden="1" customHeight="1">
      <c r="A179" s="5" t="s">
        <v>933</v>
      </c>
      <c r="B179" s="5" t="s">
        <v>931</v>
      </c>
      <c r="C179" s="5" t="s">
        <v>35</v>
      </c>
      <c r="D179" s="5" t="s">
        <v>903</v>
      </c>
      <c r="E179" s="5" t="s">
        <v>924</v>
      </c>
      <c r="F179" s="5">
        <v>2.0</v>
      </c>
      <c r="L179" s="7"/>
      <c r="M179" s="7"/>
      <c r="S179" s="7"/>
      <c r="T179" s="7"/>
      <c r="Z179" s="7"/>
      <c r="AA179" s="7"/>
      <c r="AG179" s="7"/>
      <c r="AH179" s="7"/>
      <c r="AN179" s="7"/>
      <c r="AO179" s="7"/>
      <c r="AU179" s="6"/>
      <c r="AV179" s="6"/>
      <c r="BB179" s="7"/>
      <c r="BC179" s="7"/>
      <c r="BI179" s="7"/>
      <c r="BJ179" s="7"/>
      <c r="BP179" s="7"/>
      <c r="BQ179" s="7"/>
      <c r="BW179" s="7"/>
      <c r="BX179" s="7"/>
    </row>
    <row r="180" ht="15.75" hidden="1" customHeight="1">
      <c r="A180" s="5" t="s">
        <v>937</v>
      </c>
      <c r="B180" s="5" t="s">
        <v>935</v>
      </c>
      <c r="C180" s="5" t="s">
        <v>44</v>
      </c>
      <c r="D180" s="5" t="s">
        <v>903</v>
      </c>
      <c r="E180" s="5" t="s">
        <v>924</v>
      </c>
      <c r="F180" s="5">
        <v>3.7</v>
      </c>
      <c r="L180" s="7"/>
      <c r="M180" s="7"/>
      <c r="S180" s="7"/>
      <c r="T180" s="7"/>
      <c r="Z180" s="7"/>
      <c r="AA180" s="7"/>
      <c r="AG180" s="7"/>
      <c r="AH180" s="7"/>
      <c r="AN180" s="7"/>
      <c r="AO180" s="7"/>
      <c r="AU180" s="6"/>
      <c r="AV180" s="6"/>
      <c r="BB180" s="7"/>
      <c r="BC180" s="7"/>
      <c r="BI180" s="7"/>
      <c r="BJ180" s="7"/>
      <c r="BP180" s="7"/>
      <c r="BQ180" s="7"/>
      <c r="BW180" s="7"/>
      <c r="BX180" s="7"/>
    </row>
    <row r="181" ht="15.75" customHeight="1">
      <c r="A181" s="5" t="s">
        <v>941</v>
      </c>
      <c r="B181" s="5" t="s">
        <v>939</v>
      </c>
      <c r="C181" s="5" t="s">
        <v>30</v>
      </c>
      <c r="D181" s="5" t="s">
        <v>903</v>
      </c>
      <c r="E181" s="5" t="s">
        <v>215</v>
      </c>
      <c r="F181" s="5">
        <v>3.0</v>
      </c>
      <c r="L181" s="7"/>
      <c r="M181" s="7"/>
      <c r="S181" s="7"/>
      <c r="T181" s="7"/>
      <c r="Z181" s="7"/>
      <c r="AA181" s="7"/>
      <c r="AG181" s="7"/>
      <c r="AH181" s="7"/>
      <c r="AN181" s="7"/>
      <c r="AO181" s="7"/>
      <c r="AU181" s="6"/>
      <c r="AV181" s="6"/>
      <c r="AW181" s="6"/>
      <c r="BB181" s="7"/>
      <c r="BC181" s="7"/>
      <c r="BI181" s="7"/>
      <c r="BJ181" s="7"/>
      <c r="BP181" s="7"/>
      <c r="BQ181" s="7"/>
      <c r="BW181" s="7"/>
      <c r="BX181" s="7"/>
    </row>
    <row r="182" ht="15.75" hidden="1" customHeight="1">
      <c r="A182" s="5" t="s">
        <v>946</v>
      </c>
      <c r="B182" s="10" t="s">
        <v>943</v>
      </c>
      <c r="C182" s="5" t="s">
        <v>35</v>
      </c>
      <c r="D182" s="5" t="s">
        <v>924</v>
      </c>
      <c r="E182" s="5" t="s">
        <v>215</v>
      </c>
      <c r="F182" s="5">
        <v>1.0</v>
      </c>
      <c r="L182" s="7"/>
      <c r="M182" s="7"/>
      <c r="S182" s="7"/>
      <c r="T182" s="7"/>
      <c r="Z182" s="7"/>
      <c r="AA182" s="7"/>
      <c r="AG182" s="7"/>
      <c r="AH182" s="7"/>
      <c r="AN182" s="7"/>
      <c r="AO182" s="7"/>
      <c r="AU182" s="7"/>
      <c r="AV182" s="11"/>
      <c r="AW182" s="11"/>
      <c r="BB182" s="7"/>
      <c r="BC182" s="7"/>
      <c r="BI182" s="7"/>
      <c r="BJ182" s="7"/>
      <c r="BP182" s="7"/>
      <c r="BQ182" s="7"/>
      <c r="BW182" s="7"/>
      <c r="BX182" s="7"/>
    </row>
    <row r="183" ht="15.75" hidden="1" customHeight="1">
      <c r="A183" s="5" t="s">
        <v>950</v>
      </c>
      <c r="B183" s="10" t="s">
        <v>948</v>
      </c>
      <c r="C183" s="5" t="s">
        <v>40</v>
      </c>
      <c r="D183" s="5" t="s">
        <v>924</v>
      </c>
      <c r="E183" s="5" t="s">
        <v>215</v>
      </c>
      <c r="F183" s="5">
        <v>1.0</v>
      </c>
      <c r="L183" s="7"/>
      <c r="M183" s="7"/>
      <c r="S183" s="7"/>
      <c r="T183" s="7"/>
      <c r="Z183" s="7"/>
      <c r="AA183" s="7"/>
      <c r="AG183" s="7"/>
      <c r="AH183" s="7"/>
      <c r="AN183" s="7"/>
      <c r="AO183" s="7"/>
      <c r="AU183" s="7"/>
      <c r="AV183" s="11"/>
      <c r="AW183" s="11"/>
      <c r="BB183" s="7"/>
      <c r="BC183" s="7"/>
      <c r="BI183" s="7"/>
      <c r="BJ183" s="7"/>
      <c r="BP183" s="7"/>
      <c r="BQ183" s="7"/>
      <c r="BW183" s="7"/>
      <c r="BX183" s="7"/>
    </row>
    <row r="184" ht="15.75" hidden="1" customHeight="1">
      <c r="A184" s="5" t="s">
        <v>954</v>
      </c>
      <c r="B184" s="5" t="s">
        <v>952</v>
      </c>
      <c r="C184" s="5" t="s">
        <v>44</v>
      </c>
      <c r="D184" s="5" t="s">
        <v>924</v>
      </c>
      <c r="E184" s="5" t="s">
        <v>215</v>
      </c>
      <c r="F184" s="5">
        <v>2.6</v>
      </c>
      <c r="L184" s="7"/>
      <c r="M184" s="7"/>
      <c r="S184" s="7"/>
      <c r="T184" s="7"/>
      <c r="Z184" s="7"/>
      <c r="AA184" s="7"/>
      <c r="AG184" s="7"/>
      <c r="AH184" s="7"/>
      <c r="AN184" s="7"/>
      <c r="AO184" s="7"/>
      <c r="AU184" s="7"/>
      <c r="AV184" s="6"/>
      <c r="AW184" s="6"/>
      <c r="BB184" s="7"/>
      <c r="BC184" s="7"/>
      <c r="BI184" s="7"/>
      <c r="BJ184" s="7"/>
      <c r="BP184" s="7"/>
      <c r="BQ184" s="7"/>
      <c r="BW184" s="7"/>
      <c r="BX184" s="7"/>
    </row>
    <row r="185" ht="15.75" hidden="1" customHeight="1">
      <c r="A185" s="5" t="s">
        <v>958</v>
      </c>
      <c r="B185" s="5" t="s">
        <v>956</v>
      </c>
      <c r="C185" s="5" t="s">
        <v>48</v>
      </c>
      <c r="D185" s="5" t="s">
        <v>924</v>
      </c>
      <c r="E185" s="5" t="s">
        <v>215</v>
      </c>
      <c r="F185" s="5">
        <v>2.4</v>
      </c>
      <c r="L185" s="7"/>
      <c r="M185" s="7"/>
      <c r="S185" s="7"/>
      <c r="T185" s="7"/>
      <c r="Z185" s="7"/>
      <c r="AA185" s="7"/>
      <c r="AG185" s="7"/>
      <c r="AH185" s="7"/>
      <c r="AN185" s="7"/>
      <c r="AO185" s="7"/>
      <c r="AU185" s="7"/>
      <c r="AV185" s="6"/>
      <c r="AW185" s="6"/>
      <c r="BB185" s="7"/>
      <c r="BC185" s="7"/>
      <c r="BI185" s="7"/>
      <c r="BJ185" s="7"/>
      <c r="BP185" s="7"/>
      <c r="BQ185" s="7"/>
      <c r="BW185" s="7"/>
      <c r="BX185" s="7"/>
    </row>
    <row r="186" ht="15.75" hidden="1" customHeight="1">
      <c r="A186" s="5" t="s">
        <v>963</v>
      </c>
      <c r="B186" s="10" t="s">
        <v>960</v>
      </c>
      <c r="C186" s="5" t="s">
        <v>48</v>
      </c>
      <c r="D186" s="5" t="s">
        <v>215</v>
      </c>
      <c r="E186" s="5" t="s">
        <v>199</v>
      </c>
      <c r="F186" s="5">
        <v>1.0</v>
      </c>
      <c r="L186" s="7"/>
      <c r="M186" s="7"/>
      <c r="S186" s="7"/>
      <c r="T186" s="7"/>
      <c r="Z186" s="7"/>
      <c r="AA186" s="7"/>
      <c r="AG186" s="7"/>
      <c r="AH186" s="7"/>
      <c r="AN186" s="7"/>
      <c r="AO186" s="7"/>
      <c r="AU186" s="7"/>
      <c r="AV186" s="7"/>
      <c r="AW186" s="11"/>
      <c r="AX186" s="11"/>
      <c r="BB186" s="7"/>
      <c r="BC186" s="7"/>
      <c r="BI186" s="7"/>
      <c r="BJ186" s="7"/>
      <c r="BP186" s="7"/>
      <c r="BQ186" s="7"/>
      <c r="BW186" s="7"/>
      <c r="BX186" s="7"/>
    </row>
    <row r="187" ht="15.75" hidden="1" customHeight="1">
      <c r="A187" s="5" t="s">
        <v>967</v>
      </c>
      <c r="B187" s="5" t="s">
        <v>965</v>
      </c>
      <c r="C187" s="5" t="s">
        <v>44</v>
      </c>
      <c r="D187" s="5" t="s">
        <v>215</v>
      </c>
      <c r="E187" s="5" t="s">
        <v>199</v>
      </c>
      <c r="F187" s="5">
        <v>1.8</v>
      </c>
      <c r="L187" s="7"/>
      <c r="M187" s="7"/>
      <c r="S187" s="7"/>
      <c r="T187" s="7"/>
      <c r="Z187" s="7"/>
      <c r="AA187" s="7"/>
      <c r="AG187" s="7"/>
      <c r="AH187" s="7"/>
      <c r="AN187" s="7"/>
      <c r="AO187" s="7"/>
      <c r="AU187" s="7"/>
      <c r="AV187" s="7"/>
      <c r="AW187" s="6"/>
      <c r="AX187" s="6"/>
      <c r="BB187" s="7"/>
      <c r="BC187" s="7"/>
      <c r="BI187" s="7"/>
      <c r="BJ187" s="7"/>
      <c r="BP187" s="7"/>
      <c r="BQ187" s="7"/>
      <c r="BW187" s="7"/>
      <c r="BX187" s="7"/>
    </row>
    <row r="188" ht="15.75" hidden="1" customHeight="1">
      <c r="A188" s="5" t="s">
        <v>971</v>
      </c>
      <c r="B188" s="10" t="s">
        <v>969</v>
      </c>
      <c r="C188" s="5" t="s">
        <v>44</v>
      </c>
      <c r="D188" s="5" t="s">
        <v>199</v>
      </c>
      <c r="E188" s="5" t="s">
        <v>199</v>
      </c>
      <c r="F188" s="5">
        <v>1.0</v>
      </c>
      <c r="L188" s="7"/>
      <c r="M188" s="7"/>
      <c r="S188" s="7"/>
      <c r="T188" s="7"/>
      <c r="Z188" s="7"/>
      <c r="AA188" s="7"/>
      <c r="AG188" s="7"/>
      <c r="AH188" s="7"/>
      <c r="AN188" s="7"/>
      <c r="AO188" s="7"/>
      <c r="AU188" s="7"/>
      <c r="AV188" s="7"/>
      <c r="AX188" s="11"/>
      <c r="BB188" s="7"/>
      <c r="BC188" s="7"/>
      <c r="BI188" s="7"/>
      <c r="BJ188" s="7"/>
      <c r="BP188" s="7"/>
      <c r="BQ188" s="7"/>
      <c r="BW188" s="7"/>
      <c r="BX188" s="7"/>
    </row>
    <row r="189" ht="15.75" hidden="1" customHeight="1">
      <c r="A189" s="5" t="s">
        <v>974</v>
      </c>
      <c r="B189" s="5" t="s">
        <v>973</v>
      </c>
      <c r="C189" s="5" t="s">
        <v>40</v>
      </c>
      <c r="D189" s="5" t="s">
        <v>199</v>
      </c>
      <c r="E189" s="5" t="s">
        <v>199</v>
      </c>
      <c r="F189" s="5">
        <v>26.0</v>
      </c>
      <c r="L189" s="7"/>
      <c r="M189" s="7"/>
      <c r="S189" s="7"/>
      <c r="T189" s="7"/>
      <c r="Z189" s="7"/>
      <c r="AA189" s="7"/>
      <c r="AG189" s="7"/>
      <c r="AH189" s="7"/>
      <c r="AN189" s="7"/>
      <c r="AO189" s="7"/>
      <c r="AU189" s="7"/>
      <c r="AV189" s="7"/>
      <c r="AX189" s="6"/>
      <c r="BB189" s="7"/>
      <c r="BC189" s="7"/>
      <c r="BI189" s="7"/>
      <c r="BJ189" s="7"/>
      <c r="BP189" s="7"/>
      <c r="BQ189" s="7"/>
      <c r="BW189" s="7"/>
      <c r="BX189" s="7"/>
    </row>
    <row r="190" ht="15.75" hidden="1" customHeight="1">
      <c r="A190" s="5" t="s">
        <v>979</v>
      </c>
      <c r="B190" s="10" t="s">
        <v>976</v>
      </c>
      <c r="C190" s="5" t="s">
        <v>48</v>
      </c>
      <c r="D190" s="5" t="s">
        <v>199</v>
      </c>
      <c r="E190" s="5" t="s">
        <v>978</v>
      </c>
      <c r="F190" s="5">
        <v>1.0</v>
      </c>
      <c r="L190" s="7"/>
      <c r="M190" s="7"/>
      <c r="S190" s="7"/>
      <c r="T190" s="7"/>
      <c r="Z190" s="7"/>
      <c r="AA190" s="7"/>
      <c r="AG190" s="7"/>
      <c r="AH190" s="7"/>
      <c r="AN190" s="7"/>
      <c r="AO190" s="7"/>
      <c r="AU190" s="7"/>
      <c r="AV190" s="7"/>
      <c r="AX190" s="11"/>
      <c r="AY190" s="11"/>
      <c r="BB190" s="7"/>
      <c r="BC190" s="7"/>
      <c r="BI190" s="7"/>
      <c r="BJ190" s="7"/>
      <c r="BP190" s="7"/>
      <c r="BQ190" s="7"/>
      <c r="BW190" s="7"/>
      <c r="BX190" s="7"/>
    </row>
    <row r="191" ht="15.75" customHeight="1">
      <c r="A191" s="5" t="s">
        <v>983</v>
      </c>
      <c r="B191" s="10" t="s">
        <v>981</v>
      </c>
      <c r="C191" s="5" t="s">
        <v>30</v>
      </c>
      <c r="D191" s="5" t="s">
        <v>978</v>
      </c>
      <c r="E191" s="5" t="s">
        <v>978</v>
      </c>
      <c r="F191" s="5">
        <v>1.0</v>
      </c>
      <c r="L191" s="7"/>
      <c r="M191" s="7"/>
      <c r="S191" s="7"/>
      <c r="T191" s="7"/>
      <c r="Z191" s="7"/>
      <c r="AA191" s="7"/>
      <c r="AG191" s="7"/>
      <c r="AH191" s="7"/>
      <c r="AN191" s="7"/>
      <c r="AO191" s="7"/>
      <c r="AU191" s="7"/>
      <c r="AV191" s="7"/>
      <c r="AY191" s="11"/>
      <c r="BB191" s="7"/>
      <c r="BC191" s="7"/>
      <c r="BI191" s="7"/>
      <c r="BJ191" s="7"/>
      <c r="BP191" s="7"/>
      <c r="BQ191" s="7"/>
      <c r="BW191" s="7"/>
      <c r="BX191" s="7"/>
    </row>
    <row r="192" ht="15.75" hidden="1" customHeight="1">
      <c r="A192" s="5" t="s">
        <v>989</v>
      </c>
      <c r="B192" s="10" t="s">
        <v>985</v>
      </c>
      <c r="C192" s="5" t="s">
        <v>40</v>
      </c>
      <c r="D192" s="5" t="s">
        <v>987</v>
      </c>
      <c r="E192" s="5" t="s">
        <v>988</v>
      </c>
      <c r="F192" s="5">
        <v>1.0</v>
      </c>
      <c r="L192" s="7"/>
      <c r="M192" s="7"/>
      <c r="S192" s="7"/>
      <c r="T192" s="7"/>
      <c r="Z192" s="7"/>
      <c r="AA192" s="7"/>
      <c r="AG192" s="7"/>
      <c r="AH192" s="7"/>
      <c r="AN192" s="7"/>
      <c r="AO192" s="7"/>
      <c r="AU192" s="7"/>
      <c r="AV192" s="7"/>
      <c r="AZ192" s="11"/>
      <c r="BA192" s="11"/>
      <c r="BB192" s="7"/>
      <c r="BC192" s="7"/>
      <c r="BI192" s="7"/>
      <c r="BJ192" s="7"/>
      <c r="BP192" s="7"/>
      <c r="BQ192" s="7"/>
      <c r="BW192" s="7"/>
      <c r="BX192" s="7"/>
    </row>
    <row r="193" ht="15.75" hidden="1" customHeight="1">
      <c r="A193" s="5" t="s">
        <v>994</v>
      </c>
      <c r="B193" s="10" t="s">
        <v>991</v>
      </c>
      <c r="C193" s="5" t="s">
        <v>48</v>
      </c>
      <c r="D193" s="5" t="s">
        <v>987</v>
      </c>
      <c r="E193" s="5" t="s">
        <v>993</v>
      </c>
      <c r="F193" s="5">
        <v>1.0</v>
      </c>
      <c r="L193" s="7"/>
      <c r="M193" s="7"/>
      <c r="S193" s="7"/>
      <c r="T193" s="7"/>
      <c r="Z193" s="7"/>
      <c r="AA193" s="7"/>
      <c r="AG193" s="7"/>
      <c r="AH193" s="7"/>
      <c r="AN193" s="7"/>
      <c r="AO193" s="7"/>
      <c r="AU193" s="7"/>
      <c r="AV193" s="7"/>
      <c r="AZ193" s="11"/>
      <c r="BA193" s="11"/>
      <c r="BB193" s="11"/>
      <c r="BC193" s="7"/>
      <c r="BI193" s="7"/>
      <c r="BJ193" s="7"/>
      <c r="BP193" s="7"/>
      <c r="BQ193" s="7"/>
      <c r="BW193" s="7"/>
      <c r="BX193" s="7"/>
    </row>
    <row r="194" ht="15.75" hidden="1" customHeight="1">
      <c r="A194" s="5" t="s">
        <v>998</v>
      </c>
      <c r="B194" s="10" t="s">
        <v>996</v>
      </c>
      <c r="C194" s="5" t="s">
        <v>35</v>
      </c>
      <c r="D194" s="5" t="s">
        <v>987</v>
      </c>
      <c r="E194" s="5" t="s">
        <v>993</v>
      </c>
      <c r="F194" s="5">
        <v>0.0</v>
      </c>
      <c r="L194" s="7"/>
      <c r="M194" s="7"/>
      <c r="S194" s="7"/>
      <c r="T194" s="7"/>
      <c r="Z194" s="7"/>
      <c r="AA194" s="7"/>
      <c r="AG194" s="7"/>
      <c r="AH194" s="7"/>
      <c r="AN194" s="7"/>
      <c r="AO194" s="7"/>
      <c r="AU194" s="7"/>
      <c r="AV194" s="7"/>
      <c r="AZ194" s="11"/>
      <c r="BA194" s="11"/>
      <c r="BB194" s="11"/>
      <c r="BC194" s="7"/>
      <c r="BI194" s="7"/>
      <c r="BJ194" s="7"/>
      <c r="BP194" s="7"/>
      <c r="BQ194" s="7"/>
      <c r="BW194" s="7"/>
      <c r="BX194" s="7"/>
    </row>
    <row r="195" ht="15.75" hidden="1" customHeight="1">
      <c r="A195" s="5" t="s">
        <v>1000</v>
      </c>
      <c r="B195" s="10" t="s">
        <v>996</v>
      </c>
      <c r="C195" s="5" t="s">
        <v>40</v>
      </c>
      <c r="D195" s="5" t="s">
        <v>987</v>
      </c>
      <c r="E195" s="5" t="s">
        <v>993</v>
      </c>
      <c r="F195" s="5">
        <v>0.0</v>
      </c>
      <c r="L195" s="7"/>
      <c r="M195" s="7"/>
      <c r="S195" s="7"/>
      <c r="T195" s="7"/>
      <c r="Z195" s="7"/>
      <c r="AA195" s="7"/>
      <c r="AG195" s="7"/>
      <c r="AH195" s="7"/>
      <c r="AN195" s="7"/>
      <c r="AO195" s="7"/>
      <c r="AU195" s="7"/>
      <c r="AV195" s="7"/>
      <c r="AZ195" s="11"/>
      <c r="BA195" s="11"/>
      <c r="BB195" s="11"/>
      <c r="BC195" s="7"/>
      <c r="BI195" s="7"/>
      <c r="BJ195" s="7"/>
      <c r="BP195" s="7"/>
      <c r="BQ195" s="7"/>
      <c r="BW195" s="7"/>
      <c r="BX195" s="7"/>
    </row>
    <row r="196" ht="15.75" hidden="1" customHeight="1">
      <c r="A196" s="5" t="s">
        <v>1003</v>
      </c>
      <c r="B196" s="10" t="s">
        <v>1002</v>
      </c>
      <c r="C196" s="5" t="s">
        <v>44</v>
      </c>
      <c r="D196" s="5" t="s">
        <v>987</v>
      </c>
      <c r="E196" s="5" t="s">
        <v>993</v>
      </c>
      <c r="F196" s="5">
        <v>0.0</v>
      </c>
      <c r="L196" s="7"/>
      <c r="M196" s="7"/>
      <c r="S196" s="7"/>
      <c r="T196" s="7"/>
      <c r="Z196" s="7"/>
      <c r="AA196" s="7"/>
      <c r="AG196" s="7"/>
      <c r="AH196" s="7"/>
      <c r="AN196" s="7"/>
      <c r="AO196" s="7"/>
      <c r="AU196" s="7"/>
      <c r="AV196" s="7"/>
      <c r="AZ196" s="11"/>
      <c r="BA196" s="11"/>
      <c r="BB196" s="11"/>
      <c r="BC196" s="7"/>
      <c r="BI196" s="7"/>
      <c r="BJ196" s="7"/>
      <c r="BP196" s="7"/>
      <c r="BQ196" s="7"/>
      <c r="BW196" s="7"/>
      <c r="BX196" s="7"/>
    </row>
    <row r="197" ht="15.75" hidden="1" customHeight="1">
      <c r="A197" s="5" t="s">
        <v>1005</v>
      </c>
      <c r="B197" s="10" t="s">
        <v>1002</v>
      </c>
      <c r="C197" s="5" t="s">
        <v>48</v>
      </c>
      <c r="D197" s="5" t="s">
        <v>987</v>
      </c>
      <c r="E197" s="5" t="s">
        <v>993</v>
      </c>
      <c r="F197" s="5">
        <v>0.0</v>
      </c>
      <c r="L197" s="7"/>
      <c r="M197" s="7"/>
      <c r="S197" s="7"/>
      <c r="T197" s="7"/>
      <c r="Z197" s="7"/>
      <c r="AA197" s="7"/>
      <c r="AG197" s="7"/>
      <c r="AH197" s="7"/>
      <c r="AN197" s="7"/>
      <c r="AO197" s="7"/>
      <c r="AU197" s="7"/>
      <c r="AV197" s="7"/>
      <c r="AZ197" s="11"/>
      <c r="BA197" s="11"/>
      <c r="BB197" s="11"/>
      <c r="BC197" s="7"/>
      <c r="BI197" s="7"/>
      <c r="BJ197" s="7"/>
      <c r="BP197" s="7"/>
      <c r="BQ197" s="7"/>
      <c r="BW197" s="7"/>
      <c r="BX197" s="7"/>
    </row>
    <row r="198" ht="15.75" customHeight="1">
      <c r="A198" s="5" t="s">
        <v>1008</v>
      </c>
      <c r="B198" s="10" t="s">
        <v>1007</v>
      </c>
      <c r="C198" s="5" t="s">
        <v>30</v>
      </c>
      <c r="D198" s="5" t="s">
        <v>987</v>
      </c>
      <c r="E198" s="5" t="s">
        <v>993</v>
      </c>
      <c r="F198" s="5">
        <v>0.0</v>
      </c>
      <c r="L198" s="7"/>
      <c r="M198" s="7"/>
      <c r="S198" s="7"/>
      <c r="T198" s="7"/>
      <c r="Z198" s="7"/>
      <c r="AA198" s="7"/>
      <c r="AG198" s="7"/>
      <c r="AH198" s="7"/>
      <c r="AN198" s="7"/>
      <c r="AO198" s="7"/>
      <c r="AU198" s="7"/>
      <c r="AV198" s="7"/>
      <c r="AZ198" s="11"/>
      <c r="BA198" s="11"/>
      <c r="BB198" s="11"/>
      <c r="BC198" s="7"/>
      <c r="BI198" s="7"/>
      <c r="BJ198" s="7"/>
      <c r="BP198" s="7"/>
      <c r="BQ198" s="7"/>
      <c r="BW198" s="7"/>
      <c r="BX198" s="7"/>
    </row>
    <row r="199" ht="15.75" customHeight="1">
      <c r="A199" s="5" t="s">
        <v>1012</v>
      </c>
      <c r="B199" s="10" t="s">
        <v>1010</v>
      </c>
      <c r="C199" s="5" t="s">
        <v>30</v>
      </c>
      <c r="D199" s="5" t="s">
        <v>119</v>
      </c>
      <c r="E199" s="5" t="s">
        <v>119</v>
      </c>
      <c r="F199" s="5">
        <v>0.0</v>
      </c>
      <c r="L199" s="7"/>
      <c r="M199" s="7"/>
      <c r="S199" s="7"/>
      <c r="T199" s="7"/>
      <c r="Z199" s="7"/>
      <c r="AA199" s="7"/>
      <c r="AG199" s="7"/>
      <c r="AH199" s="7"/>
      <c r="AN199" s="7"/>
      <c r="AO199" s="7"/>
      <c r="AU199" s="7"/>
      <c r="AV199" s="7"/>
      <c r="BB199" s="7"/>
      <c r="BC199" s="11"/>
      <c r="BI199" s="7"/>
      <c r="BJ199" s="7"/>
      <c r="BP199" s="7"/>
      <c r="BQ199" s="7"/>
      <c r="BW199" s="7"/>
      <c r="BX199" s="7"/>
    </row>
    <row r="200" ht="15.75" hidden="1" customHeight="1">
      <c r="A200" s="5" t="s">
        <v>1017</v>
      </c>
      <c r="B200" s="10" t="s">
        <v>1014</v>
      </c>
      <c r="C200" s="5" t="s">
        <v>48</v>
      </c>
      <c r="D200" s="5" t="s">
        <v>137</v>
      </c>
      <c r="E200" s="5" t="s">
        <v>1016</v>
      </c>
      <c r="F200" s="5">
        <v>0.0</v>
      </c>
      <c r="L200" s="7"/>
      <c r="M200" s="7"/>
      <c r="S200" s="7"/>
      <c r="T200" s="7"/>
      <c r="Z200" s="7"/>
      <c r="AA200" s="7"/>
      <c r="AG200" s="7"/>
      <c r="AH200" s="7"/>
      <c r="AN200" s="7"/>
      <c r="AO200" s="7"/>
      <c r="AU200" s="7"/>
      <c r="AV200" s="7"/>
      <c r="BB200" s="7"/>
      <c r="BC200" s="7"/>
      <c r="BD200" s="11"/>
      <c r="BE200" s="11"/>
      <c r="BF200" s="11"/>
      <c r="BI200" s="7"/>
      <c r="BJ200" s="7"/>
      <c r="BP200" s="7"/>
      <c r="BQ200" s="7"/>
      <c r="BW200" s="7"/>
      <c r="BX200" s="7"/>
    </row>
    <row r="201" ht="15.75" hidden="1" customHeight="1">
      <c r="A201" s="5" t="s">
        <v>1023</v>
      </c>
      <c r="B201" s="10" t="s">
        <v>1019</v>
      </c>
      <c r="C201" s="5" t="s">
        <v>35</v>
      </c>
      <c r="D201" s="5" t="s">
        <v>1021</v>
      </c>
      <c r="E201" s="5" t="s">
        <v>1022</v>
      </c>
      <c r="F201" s="5">
        <v>0.0</v>
      </c>
      <c r="L201" s="7"/>
      <c r="M201" s="7"/>
      <c r="S201" s="7"/>
      <c r="T201" s="7"/>
      <c r="Z201" s="7"/>
      <c r="AA201" s="7"/>
      <c r="AG201" s="7"/>
      <c r="AH201" s="7"/>
      <c r="AN201" s="7"/>
      <c r="AO201" s="7"/>
      <c r="AU201" s="7"/>
      <c r="AV201" s="7"/>
      <c r="BB201" s="7"/>
      <c r="BC201" s="7"/>
      <c r="BG201" s="11"/>
      <c r="BH201" s="11"/>
      <c r="BI201" s="11"/>
      <c r="BJ201" s="11"/>
      <c r="BK201" s="11"/>
      <c r="BL201" s="11"/>
      <c r="BM201" s="11"/>
      <c r="BN201" s="11"/>
      <c r="BP201" s="7"/>
      <c r="BQ201" s="7"/>
      <c r="BW201" s="7"/>
      <c r="BX201" s="7"/>
    </row>
    <row r="202" ht="15.75" hidden="1" customHeight="1">
      <c r="A202" s="5" t="s">
        <v>1027</v>
      </c>
      <c r="B202" s="10" t="s">
        <v>1025</v>
      </c>
      <c r="C202" s="5" t="s">
        <v>40</v>
      </c>
      <c r="D202" s="5" t="s">
        <v>1021</v>
      </c>
      <c r="E202" s="5" t="s">
        <v>1022</v>
      </c>
      <c r="F202" s="5">
        <v>0.0</v>
      </c>
      <c r="L202" s="7"/>
      <c r="M202" s="7"/>
      <c r="S202" s="7"/>
      <c r="T202" s="7"/>
      <c r="Z202" s="7"/>
      <c r="AA202" s="7"/>
      <c r="AG202" s="7"/>
      <c r="AH202" s="7"/>
      <c r="AN202" s="7"/>
      <c r="AO202" s="7"/>
      <c r="AU202" s="7"/>
      <c r="AV202" s="7"/>
      <c r="BB202" s="7"/>
      <c r="BC202" s="7"/>
      <c r="BG202" s="11"/>
      <c r="BH202" s="11"/>
      <c r="BI202" s="11"/>
      <c r="BJ202" s="11"/>
      <c r="BK202" s="11"/>
      <c r="BL202" s="11"/>
      <c r="BM202" s="11"/>
      <c r="BN202" s="11"/>
      <c r="BP202" s="7"/>
      <c r="BQ202" s="7"/>
      <c r="BW202" s="7"/>
      <c r="BX202" s="7"/>
    </row>
    <row r="203" ht="15.75" hidden="1" customHeight="1">
      <c r="A203" s="5" t="s">
        <v>1031</v>
      </c>
      <c r="B203" s="10" t="s">
        <v>1029</v>
      </c>
      <c r="C203" s="5" t="s">
        <v>44</v>
      </c>
      <c r="D203" s="5" t="s">
        <v>1021</v>
      </c>
      <c r="E203" s="5" t="s">
        <v>1022</v>
      </c>
      <c r="F203" s="5">
        <v>0.0</v>
      </c>
      <c r="L203" s="7"/>
      <c r="M203" s="7"/>
      <c r="S203" s="7"/>
      <c r="T203" s="7"/>
      <c r="Z203" s="7"/>
      <c r="AA203" s="7"/>
      <c r="AG203" s="7"/>
      <c r="AH203" s="7"/>
      <c r="AN203" s="7"/>
      <c r="AO203" s="7"/>
      <c r="AU203" s="7"/>
      <c r="AV203" s="7"/>
      <c r="BB203" s="7"/>
      <c r="BC203" s="7"/>
      <c r="BG203" s="11"/>
      <c r="BH203" s="11"/>
      <c r="BI203" s="11"/>
      <c r="BJ203" s="11"/>
      <c r="BK203" s="11"/>
      <c r="BL203" s="11"/>
      <c r="BM203" s="11"/>
      <c r="BN203" s="11"/>
      <c r="BP203" s="7"/>
      <c r="BQ203" s="7"/>
      <c r="BW203" s="7"/>
      <c r="BX203" s="7"/>
    </row>
    <row r="204" ht="15.75" hidden="1" customHeight="1">
      <c r="A204" s="5" t="s">
        <v>1035</v>
      </c>
      <c r="B204" s="10" t="s">
        <v>1033</v>
      </c>
      <c r="C204" s="5" t="s">
        <v>48</v>
      </c>
      <c r="D204" s="5" t="s">
        <v>1021</v>
      </c>
      <c r="E204" s="5" t="s">
        <v>1022</v>
      </c>
      <c r="F204" s="5">
        <v>0.0</v>
      </c>
      <c r="L204" s="7"/>
      <c r="M204" s="7"/>
      <c r="S204" s="7"/>
      <c r="T204" s="7"/>
      <c r="Z204" s="7"/>
      <c r="AA204" s="7"/>
      <c r="AG204" s="7"/>
      <c r="AH204" s="7"/>
      <c r="AN204" s="7"/>
      <c r="AO204" s="7"/>
      <c r="AU204" s="7"/>
      <c r="AV204" s="7"/>
      <c r="BB204" s="7"/>
      <c r="BC204" s="7"/>
      <c r="BG204" s="11"/>
      <c r="BH204" s="11"/>
      <c r="BI204" s="11"/>
      <c r="BJ204" s="11"/>
      <c r="BK204" s="11"/>
      <c r="BL204" s="11"/>
      <c r="BM204" s="11"/>
      <c r="BN204" s="11"/>
      <c r="BP204" s="7"/>
      <c r="BQ204" s="7"/>
      <c r="BW204" s="7"/>
      <c r="BX204" s="7"/>
    </row>
    <row r="205" ht="15.75" customHeight="1">
      <c r="A205" s="5" t="s">
        <v>1039</v>
      </c>
      <c r="B205" s="10" t="s">
        <v>1037</v>
      </c>
      <c r="C205" s="5" t="s">
        <v>30</v>
      </c>
      <c r="D205" s="5" t="s">
        <v>1021</v>
      </c>
      <c r="E205" s="5" t="s">
        <v>1022</v>
      </c>
      <c r="F205" s="5">
        <v>0.0</v>
      </c>
      <c r="L205" s="7"/>
      <c r="M205" s="7"/>
      <c r="S205" s="7"/>
      <c r="T205" s="7"/>
      <c r="Z205" s="7"/>
      <c r="AA205" s="7"/>
      <c r="AG205" s="7"/>
      <c r="AH205" s="7"/>
      <c r="AN205" s="7"/>
      <c r="AO205" s="7"/>
      <c r="AU205" s="7"/>
      <c r="AV205" s="7"/>
      <c r="BB205" s="7"/>
      <c r="BC205" s="7"/>
      <c r="BG205" s="11"/>
      <c r="BH205" s="11"/>
      <c r="BI205" s="11"/>
      <c r="BJ205" s="11"/>
      <c r="BK205" s="11"/>
      <c r="BL205" s="11"/>
      <c r="BM205" s="11"/>
      <c r="BN205" s="11"/>
      <c r="BP205" s="7"/>
      <c r="BQ205" s="7"/>
      <c r="BW205" s="7"/>
      <c r="BX205" s="7"/>
    </row>
    <row r="206" ht="15.75" hidden="1" customHeight="1">
      <c r="A206" s="5" t="s">
        <v>1045</v>
      </c>
      <c r="B206" s="5" t="s">
        <v>1041</v>
      </c>
      <c r="C206" s="5" t="s">
        <v>44</v>
      </c>
      <c r="D206" s="5" t="s">
        <v>1042</v>
      </c>
      <c r="E206" s="5" t="s">
        <v>1043</v>
      </c>
      <c r="F206" s="5">
        <v>12.0</v>
      </c>
      <c r="L206" s="7"/>
      <c r="M206" s="7"/>
      <c r="S206" s="7"/>
      <c r="T206" s="7"/>
      <c r="Z206" s="7"/>
      <c r="AA206" s="7"/>
      <c r="AG206" s="7"/>
      <c r="AH206" s="7"/>
      <c r="AN206" s="7"/>
      <c r="AO206" s="7"/>
      <c r="AU206" s="7"/>
      <c r="AV206" s="7"/>
      <c r="BB206" s="7"/>
      <c r="BC206" s="7"/>
      <c r="BI206" s="7"/>
      <c r="BJ206" s="7"/>
      <c r="BK206" s="6"/>
      <c r="BL206" s="6"/>
      <c r="BP206" s="7"/>
      <c r="BQ206" s="7"/>
      <c r="BW206" s="7"/>
      <c r="BX206" s="7"/>
    </row>
    <row r="207" ht="15.75" hidden="1" customHeight="1">
      <c r="A207" s="5" t="s">
        <v>1049</v>
      </c>
      <c r="B207" s="5" t="s">
        <v>1047</v>
      </c>
      <c r="C207" s="5" t="s">
        <v>48</v>
      </c>
      <c r="D207" s="5" t="s">
        <v>1043</v>
      </c>
      <c r="E207" s="5" t="s">
        <v>1022</v>
      </c>
      <c r="F207" s="5">
        <v>2.0</v>
      </c>
      <c r="L207" s="7"/>
      <c r="M207" s="7"/>
      <c r="S207" s="7"/>
      <c r="T207" s="7"/>
      <c r="Z207" s="7"/>
      <c r="AA207" s="7"/>
      <c r="AG207" s="7"/>
      <c r="AH207" s="7"/>
      <c r="AN207" s="7"/>
      <c r="AO207" s="7"/>
      <c r="AU207" s="7"/>
      <c r="AV207" s="7"/>
      <c r="BB207" s="7"/>
      <c r="BC207" s="7"/>
      <c r="BI207" s="7"/>
      <c r="BJ207" s="7"/>
      <c r="BL207" s="6"/>
      <c r="BM207" s="6"/>
      <c r="BN207" s="6"/>
      <c r="BP207" s="7"/>
      <c r="BQ207" s="7"/>
      <c r="BW207" s="7"/>
      <c r="BX207" s="7"/>
    </row>
    <row r="208" ht="15.75" customHeight="1">
      <c r="A208" s="5" t="s">
        <v>1055</v>
      </c>
      <c r="B208" s="10" t="s">
        <v>1051</v>
      </c>
      <c r="C208" s="5" t="s">
        <v>30</v>
      </c>
      <c r="D208" s="5" t="s">
        <v>1053</v>
      </c>
      <c r="E208" s="5" t="s">
        <v>1054</v>
      </c>
      <c r="F208" s="5">
        <v>0.0</v>
      </c>
      <c r="L208" s="7"/>
      <c r="M208" s="7"/>
      <c r="S208" s="7"/>
      <c r="T208" s="7"/>
      <c r="Z208" s="7"/>
      <c r="AA208" s="7"/>
      <c r="AG208" s="7"/>
      <c r="AH208" s="7"/>
      <c r="AN208" s="7"/>
      <c r="AO208" s="7"/>
      <c r="AU208" s="7"/>
      <c r="AV208" s="7"/>
      <c r="BB208" s="7"/>
      <c r="BC208" s="7"/>
      <c r="BI208" s="7"/>
      <c r="BJ208" s="7"/>
      <c r="BO208" s="11"/>
      <c r="BP208" s="11"/>
      <c r="BQ208" s="7"/>
      <c r="BW208" s="7"/>
      <c r="BX208" s="7"/>
    </row>
    <row r="209" ht="15.75" hidden="1" customHeight="1">
      <c r="A209" s="5" t="s">
        <v>1059</v>
      </c>
      <c r="B209" s="10" t="s">
        <v>1057</v>
      </c>
      <c r="C209" s="5" t="s">
        <v>44</v>
      </c>
      <c r="D209" s="5" t="s">
        <v>140</v>
      </c>
      <c r="E209" s="5" t="s">
        <v>140</v>
      </c>
      <c r="F209" s="5">
        <v>0.0</v>
      </c>
      <c r="L209" s="7"/>
      <c r="M209" s="7"/>
      <c r="S209" s="7"/>
      <c r="T209" s="7"/>
      <c r="Z209" s="7"/>
      <c r="AA209" s="7"/>
      <c r="AG209" s="7"/>
      <c r="AH209" s="7"/>
      <c r="AN209" s="7"/>
      <c r="AO209" s="7"/>
      <c r="AU209" s="7"/>
      <c r="AV209" s="7"/>
      <c r="BB209" s="7"/>
      <c r="BC209" s="7"/>
      <c r="BI209" s="7"/>
      <c r="BJ209" s="7"/>
      <c r="BP209" s="7"/>
      <c r="BQ209" s="11"/>
      <c r="BW209" s="7"/>
      <c r="BX209" s="7"/>
    </row>
    <row r="210" ht="15.75" customHeight="1">
      <c r="A210" s="5" t="s">
        <v>1065</v>
      </c>
      <c r="B210" s="10" t="s">
        <v>1061</v>
      </c>
      <c r="C210" s="5" t="s">
        <v>30</v>
      </c>
      <c r="D210" s="5" t="s">
        <v>155</v>
      </c>
      <c r="E210" s="5" t="s">
        <v>1063</v>
      </c>
      <c r="F210" s="5">
        <v>0.0</v>
      </c>
      <c r="L210" s="7"/>
      <c r="M210" s="7"/>
      <c r="S210" s="7"/>
      <c r="T210" s="7"/>
      <c r="Z210" s="7"/>
      <c r="AA210" s="7"/>
      <c r="AG210" s="7"/>
      <c r="AH210" s="7"/>
      <c r="AN210" s="7"/>
      <c r="AO210" s="7"/>
      <c r="AU210" s="7"/>
      <c r="AV210" s="7"/>
      <c r="BB210" s="7"/>
      <c r="BC210" s="7"/>
      <c r="BI210" s="7"/>
      <c r="BJ210" s="7"/>
      <c r="BP210" s="7"/>
      <c r="BQ210" s="7"/>
      <c r="BR210" s="11"/>
      <c r="BS210" s="11"/>
      <c r="BT210" s="11"/>
      <c r="BU210" s="11"/>
      <c r="BV210" s="11"/>
      <c r="BW210" s="7"/>
      <c r="BX210" s="7"/>
    </row>
    <row r="211" ht="15.75" customHeight="1">
      <c r="A211" s="5" t="s">
        <v>1070</v>
      </c>
      <c r="B211" s="10" t="s">
        <v>1067</v>
      </c>
      <c r="C211" s="5" t="s">
        <v>30</v>
      </c>
      <c r="D211" s="5" t="s">
        <v>1069</v>
      </c>
      <c r="E211" s="5" t="s">
        <v>157</v>
      </c>
      <c r="F211" s="5">
        <v>0.0</v>
      </c>
      <c r="L211" s="7"/>
      <c r="M211" s="7"/>
      <c r="S211" s="7"/>
      <c r="T211" s="7"/>
      <c r="Z211" s="7"/>
      <c r="AA211" s="7"/>
      <c r="AG211" s="7"/>
      <c r="AH211" s="7"/>
      <c r="AN211" s="7"/>
      <c r="AO211" s="7"/>
      <c r="AU211" s="7"/>
      <c r="AV211" s="7"/>
      <c r="BB211" s="7"/>
      <c r="BC211" s="7"/>
      <c r="BI211" s="7"/>
      <c r="BJ211" s="7"/>
      <c r="BP211" s="7"/>
      <c r="BQ211" s="7"/>
      <c r="BW211" s="11"/>
      <c r="BX211" s="11"/>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X$211">
    <filterColumn colId="2">
      <filters>
        <filter val="Dũng"/>
      </filters>
    </filterColumn>
  </autoFilter>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7" width="14.0"/>
    <col customWidth="1" min="8" max="8" width="10.0"/>
    <col customWidth="1" min="9" max="26" width="8.71"/>
  </cols>
  <sheetData>
    <row r="1">
      <c r="A1" s="1" t="s">
        <v>1</v>
      </c>
      <c r="B1" s="1" t="s">
        <v>20</v>
      </c>
      <c r="C1" s="1" t="s">
        <v>76</v>
      </c>
      <c r="D1" s="1" t="s">
        <v>100</v>
      </c>
      <c r="E1" s="1" t="s">
        <v>116</v>
      </c>
      <c r="F1" s="1" t="s">
        <v>134</v>
      </c>
      <c r="G1" s="1" t="s">
        <v>153</v>
      </c>
      <c r="H1" s="1" t="s">
        <v>377</v>
      </c>
    </row>
    <row r="2">
      <c r="A2" s="9" t="s">
        <v>30</v>
      </c>
      <c r="B2" s="9">
        <f>SUMIFS(Backlog!$H:$H,Backlog!$E:$E,$A2,Backlog!$F:$F,"ANGI Sprint 0")</f>
        <v>26</v>
      </c>
      <c r="C2" s="9">
        <f>SUMIFS(Backlog!$H:$H,Backlog!$E:$E,$A2,Backlog!$F:$F,"ANGI Sprint 1")</f>
        <v>31</v>
      </c>
      <c r="D2" s="9">
        <f>SUMIFS(Backlog!$H:$H,Backlog!$E:$E,$A2,Backlog!$F:$F,"ANGI Sprint 2")</f>
        <v>27</v>
      </c>
      <c r="E2" s="9">
        <f>SUMIFS(Backlog!$H:$H,Backlog!$E:$E,$A2,Backlog!$F:$F,"ANGI Sprint 3")</f>
        <v>17</v>
      </c>
      <c r="F2" s="9">
        <f>SUMIFS(Backlog!$H:$H,Backlog!$E:$E,$A2,Backlog!$F:$F,"ANGI Sprint 4")</f>
        <v>4</v>
      </c>
      <c r="G2" s="9">
        <f>SUMIFS(Backlog!$H:$H,Backlog!$E:$E,$A2,Backlog!$F:$F,"ANGI Sprint 5")</f>
        <v>7</v>
      </c>
      <c r="H2" s="9">
        <f t="shared" ref="H2:H6" si="1">SUM(B2:G2)</f>
        <v>112</v>
      </c>
    </row>
    <row r="3">
      <c r="A3" s="9" t="s">
        <v>35</v>
      </c>
      <c r="B3" s="9">
        <f>SUMIFS(Backlog!$H:$H,Backlog!$E:$E,$A3,Backlog!$F:$F,"ANGI Sprint 0")</f>
        <v>5</v>
      </c>
      <c r="C3" s="9">
        <f>SUMIFS(Backlog!$H:$H,Backlog!$E:$E,$A3,Backlog!$F:$F,"ANGI Sprint 1")</f>
        <v>33</v>
      </c>
      <c r="D3" s="9">
        <f>SUMIFS(Backlog!$H:$H,Backlog!$E:$E,$A3,Backlog!$F:$F,"ANGI Sprint 2")</f>
        <v>27</v>
      </c>
      <c r="E3" s="9">
        <f>SUMIFS(Backlog!$H:$H,Backlog!$E:$E,$A3,Backlog!$F:$F,"ANGI Sprint 3")</f>
        <v>22</v>
      </c>
      <c r="F3" s="9">
        <f>SUMIFS(Backlog!$H:$H,Backlog!$E:$E,$A3,Backlog!$F:$F,"ANGI Sprint 4")</f>
        <v>3</v>
      </c>
      <c r="G3" s="9">
        <f>SUMIFS(Backlog!$H:$H,Backlog!$E:$E,$A3,Backlog!$F:$F,"ANGI Sprint 5")</f>
        <v>0</v>
      </c>
      <c r="H3" s="9">
        <f t="shared" si="1"/>
        <v>90</v>
      </c>
    </row>
    <row r="4">
      <c r="A4" s="9" t="s">
        <v>40</v>
      </c>
      <c r="B4" s="9">
        <f>SUMIFS(Backlog!$H:$H,Backlog!$E:$E,$A4,Backlog!$F:$F,"ANGI Sprint 0")</f>
        <v>4</v>
      </c>
      <c r="C4" s="9">
        <f>SUMIFS(Backlog!$H:$H,Backlog!$E:$E,$A4,Backlog!$F:$F,"ANGI Sprint 1")</f>
        <v>30</v>
      </c>
      <c r="D4" s="9">
        <f>SUMIFS(Backlog!$H:$H,Backlog!$E:$E,$A4,Backlog!$F:$F,"ANGI Sprint 2")</f>
        <v>33</v>
      </c>
      <c r="E4" s="9">
        <f>SUMIFS(Backlog!$H:$H,Backlog!$E:$E,$A4,Backlog!$F:$F,"ANGI Sprint 3")</f>
        <v>26</v>
      </c>
      <c r="F4" s="9">
        <f>SUMIFS(Backlog!$H:$H,Backlog!$E:$E,$A4,Backlog!$F:$F,"ANGI Sprint 4")</f>
        <v>3</v>
      </c>
      <c r="G4" s="9">
        <f>SUMIFS(Backlog!$H:$H,Backlog!$E:$E,$A4,Backlog!$F:$F,"ANGI Sprint 5")</f>
        <v>0</v>
      </c>
      <c r="H4" s="9">
        <f t="shared" si="1"/>
        <v>96</v>
      </c>
    </row>
    <row r="5">
      <c r="A5" s="9" t="s">
        <v>44</v>
      </c>
      <c r="B5" s="9">
        <f>SUMIFS(Backlog!$H:$H,Backlog!$E:$E,$A5,Backlog!$F:$F,"ANGI Sprint 0")</f>
        <v>5</v>
      </c>
      <c r="C5" s="9">
        <f>SUMIFS(Backlog!$H:$H,Backlog!$E:$E,$A5,Backlog!$F:$F,"ANGI Sprint 1")</f>
        <v>25</v>
      </c>
      <c r="D5" s="9">
        <f>SUMIFS(Backlog!$H:$H,Backlog!$E:$E,$A5,Backlog!$F:$F,"ANGI Sprint 2")</f>
        <v>32</v>
      </c>
      <c r="E5" s="9">
        <f>SUMIFS(Backlog!$H:$H,Backlog!$E:$E,$A5,Backlog!$F:$F,"ANGI Sprint 3")</f>
        <v>24</v>
      </c>
      <c r="F5" s="9">
        <f>SUMIFS(Backlog!$H:$H,Backlog!$E:$E,$A5,Backlog!$F:$F,"ANGI Sprint 4")</f>
        <v>7</v>
      </c>
      <c r="G5" s="9">
        <f>SUMIFS(Backlog!$H:$H,Backlog!$E:$E,$A5,Backlog!$F:$F,"ANGI Sprint 5")</f>
        <v>0</v>
      </c>
      <c r="H5" s="9">
        <f t="shared" si="1"/>
        <v>93</v>
      </c>
    </row>
    <row r="6">
      <c r="A6" s="9" t="s">
        <v>48</v>
      </c>
      <c r="B6" s="9">
        <f>SUMIFS(Backlog!$H:$H,Backlog!$E:$E,$A6,Backlog!$F:$F,"ANGI Sprint 0")</f>
        <v>5</v>
      </c>
      <c r="C6" s="9">
        <f>SUMIFS(Backlog!$H:$H,Backlog!$E:$E,$A6,Backlog!$F:$F,"ANGI Sprint 1")</f>
        <v>34</v>
      </c>
      <c r="D6" s="9">
        <f>SUMIFS(Backlog!$H:$H,Backlog!$E:$E,$A6,Backlog!$F:$F,"ANGI Sprint 2")</f>
        <v>31</v>
      </c>
      <c r="E6" s="9">
        <f>SUMIFS(Backlog!$H:$H,Backlog!$E:$E,$A6,Backlog!$F:$F,"ANGI Sprint 3")</f>
        <v>19</v>
      </c>
      <c r="F6" s="9">
        <f>SUMIFS(Backlog!$H:$H,Backlog!$E:$E,$A6,Backlog!$F:$F,"ANGI Sprint 4")</f>
        <v>8</v>
      </c>
      <c r="G6" s="9">
        <f>SUMIFS(Backlog!$H:$H,Backlog!$E:$E,$A6,Backlog!$F:$F,"ANGI Sprint 5")</f>
        <v>0</v>
      </c>
      <c r="H6" s="9">
        <f t="shared" si="1"/>
        <v>97</v>
      </c>
    </row>
    <row r="8">
      <c r="A8" s="12" t="s">
        <v>555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2026-10-05T14:20:23Z</dcterms:created>
  <dc:creator>openpyxl</dc:creator>
</cp:coreProperties>
</file>