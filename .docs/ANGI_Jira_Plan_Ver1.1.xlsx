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s" sheetId="1" state="visible" r:id="rId1"/>
    <sheet name="Team" sheetId="2" state="visible" r:id="rId2"/>
    <sheet name="Epics" sheetId="3" state="visible" r:id="rId3"/>
    <sheet name="Backlog" sheetId="4" state="visible" r:id="rId4"/>
    <sheet name="Gantt" sheetId="5" state="visible" r:id="rId5"/>
    <sheet name="Workload" sheetId="6" state="visible" r:id="rId6"/>
  </sheets>
  <definedNames>
    <definedName name="_xlnm._FilterDatabase" localSheetId="3" hidden="1">'Backlog'!$A$1:$O$212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C00000"/>
    </font>
    <font>
      <i val="1"/>
    </font>
  </fonts>
  <fills count="7">
    <fill>
      <patternFill/>
    </fill>
    <fill>
      <patternFill patternType="gray125"/>
    </fill>
    <fill>
      <patternFill patternType="solid">
        <fgColor rgb="001F3864"/>
      </patternFill>
    </fill>
    <fill>
      <patternFill patternType="solid">
        <fgColor rgb="00F8CBAD"/>
      </patternFill>
    </fill>
    <fill>
      <patternFill patternType="solid">
        <fgColor rgb="009DC3E6"/>
      </patternFill>
    </fill>
    <fill>
      <patternFill patternType="solid">
        <fgColor rgb="00F2F2F2"/>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2" borderId="0" applyAlignment="1" pivotButton="0" quotePrefix="0" xfId="0">
      <alignment horizontal="center" vertical="center"/>
    </xf>
    <xf numFmtId="0" fontId="1" fillId="2" borderId="0" applyAlignment="1" pivotButton="0" quotePrefix="0" xfId="0">
      <alignment horizontal="center" vertical="center" textRotation="90"/>
    </xf>
    <xf numFmtId="0" fontId="0" fillId="4" borderId="0" pivotButton="0" quotePrefix="0" xfId="0"/>
    <xf numFmtId="0" fontId="0" fillId="5" borderId="0" pivotButton="0" quotePrefix="0" xfId="0"/>
    <xf numFmtId="0" fontId="2" fillId="0" borderId="0" pivotButton="0" quotePrefix="0" xfId="0"/>
    <xf numFmtId="0" fontId="0" fillId="6" borderId="0" pivotButton="0" quotePrefix="0" xfId="0"/>
    <xf numFmtId="0" fontId="0" fillId="0"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2" customWidth="1" min="3" max="3"/>
    <col width="12" customWidth="1" min="4" max="4"/>
    <col width="80" customWidth="1" min="5" max="5"/>
    <col width="10" customWidth="1" min="6" max="6"/>
    <col width="12" customWidth="1" min="7" max="7"/>
  </cols>
  <sheetData>
    <row r="1">
      <c r="A1" s="1" t="inlineStr">
        <is>
          <t>Sprint</t>
        </is>
      </c>
      <c r="B1" s="1" t="inlineStr">
        <is>
          <t>Tuần</t>
        </is>
      </c>
      <c r="C1" s="1" t="inlineStr">
        <is>
          <t>Bắt đầu</t>
        </is>
      </c>
      <c r="D1" s="1" t="inlineStr">
        <is>
          <t>Kết thúc</t>
        </is>
      </c>
      <c r="E1" s="1" t="inlineStr">
        <is>
          <t>Sprint Goal</t>
        </is>
      </c>
      <c r="F1" s="1" t="inlineStr">
        <is>
          <t>Số task</t>
        </is>
      </c>
      <c r="G1" s="1" t="inlineStr">
        <is>
          <t>Story points</t>
        </is>
      </c>
    </row>
    <row r="2">
      <c r="A2" s="2" t="inlineStr">
        <is>
          <t>ANGI Sprint 0</t>
        </is>
      </c>
      <c r="B2" s="2" t="inlineStr">
        <is>
          <t>W5</t>
        </is>
      </c>
      <c r="C2" s="2" t="inlineStr">
        <is>
          <t>05/10/2026</t>
        </is>
      </c>
      <c r="D2" s="2" t="inlineStr">
        <is>
          <t>11/10/2026</t>
        </is>
      </c>
      <c r="E2" s="2" t="inlineStr">
        <is>
          <t>Hoàn tất thiết kế (SDS v1.0, Test Plan, SRS v1.0), dựng khung dự án, DB, CI, seed data</t>
        </is>
      </c>
      <c r="F2" s="2">
        <f>COUNTIF(Backlog!$F:$F,A2)</f>
        <v/>
      </c>
      <c r="G2" s="2">
        <f>SUMIF(Backlog!$F:$F,A2,Backlog!$H:$H)</f>
        <v/>
      </c>
    </row>
    <row r="3">
      <c r="A3" s="2" t="inlineStr">
        <is>
          <t>ANGI Sprint 1</t>
        </is>
      </c>
      <c r="B3" s="2" t="inlineStr">
        <is>
          <t>W6-W7</t>
        </is>
      </c>
      <c r="C3" s="2" t="inlineStr">
        <is>
          <t>12/10/2026</t>
        </is>
      </c>
      <c r="D3" s="2" t="inlineStr">
        <is>
          <t>25/10/2026</t>
        </is>
      </c>
      <c r="E3" s="2" t="inlineStr">
        <is>
          <t>Iteration 1: Authentication &amp; Account, Restaurant Management, Discovery, Reco phase 1 -&gt; Software Package V1</t>
        </is>
      </c>
      <c r="F3" s="2">
        <f>COUNTIF(Backlog!$F:$F,A3)</f>
        <v/>
      </c>
      <c r="G3" s="2">
        <f>SUMIF(Backlog!$F:$F,A3,Backlog!$H:$H)</f>
        <v/>
      </c>
    </row>
    <row r="4">
      <c r="A4" s="2" t="inlineStr">
        <is>
          <t>ANGI Sprint 2</t>
        </is>
      </c>
      <c r="B4" s="2" t="inlineStr">
        <is>
          <t>W8-W9</t>
        </is>
      </c>
      <c r="C4" s="2" t="inlineStr">
        <is>
          <t>26/10/2026</t>
        </is>
      </c>
      <c r="D4" s="2" t="inlineStr">
        <is>
          <t>08/11/2026</t>
        </is>
      </c>
      <c r="E4" s="2" t="inlineStr">
        <is>
          <t>Iteration 2: Roadmap, Feedback &amp; Report, Blog, Notification, Reco phase 2 -&gt; Software Package V2</t>
        </is>
      </c>
      <c r="F4" s="2">
        <f>COUNTIF(Backlog!$F:$F,A4)</f>
        <v/>
      </c>
      <c r="G4" s="2">
        <f>SUMIF(Backlog!$F:$F,A4,Backlog!$H:$H)</f>
        <v/>
      </c>
    </row>
    <row r="5">
      <c r="A5" s="2" t="inlineStr">
        <is>
          <t>ANGI Sprint 3</t>
        </is>
      </c>
      <c r="B5" s="2" t="inlineStr">
        <is>
          <t>W10-W11</t>
        </is>
      </c>
      <c r="C5" s="2" t="inlineStr">
        <is>
          <t>09/11/2026</t>
        </is>
      </c>
      <c r="D5" s="2" t="inlineStr">
        <is>
          <t>22/11/2026</t>
        </is>
      </c>
      <c r="E5" s="2" t="inlineStr">
        <is>
          <t>Iteration 3: Moderation, Administration, Reco last phase, System Test Cases -&gt; Software Package V3</t>
        </is>
      </c>
      <c r="F5" s="2">
        <f>COUNTIF(Backlog!$F:$F,A5)</f>
        <v/>
      </c>
      <c r="G5" s="2">
        <f>SUMIF(Backlog!$F:$F,A5,Backlog!$H:$H)</f>
        <v/>
      </c>
    </row>
    <row r="6">
      <c r="A6" s="2" t="inlineStr">
        <is>
          <t>ANGI Sprint 4</t>
        </is>
      </c>
      <c r="B6" s="2" t="inlineStr">
        <is>
          <t>W12-W13</t>
        </is>
      </c>
      <c r="C6" s="2" t="inlineStr">
        <is>
          <t>23/11/2026</t>
        </is>
      </c>
      <c r="D6" s="2" t="inlineStr">
        <is>
          <t>06/12/2026</t>
        </is>
      </c>
      <c r="E6" s="2" t="inlineStr">
        <is>
          <t>Verification &amp; Validation: System/Acceptance test, fix bug, User Guides, Final Software Package</t>
        </is>
      </c>
      <c r="F6" s="2">
        <f>COUNTIF(Backlog!$F:$F,A6)</f>
        <v/>
      </c>
      <c r="G6" s="2">
        <f>SUMIF(Backlog!$F:$F,A6,Backlog!$H:$H)</f>
        <v/>
      </c>
    </row>
    <row r="7">
      <c r="A7" s="2" t="inlineStr">
        <is>
          <t>ANGI Sprint 5</t>
        </is>
      </c>
      <c r="B7" s="2" t="inlineStr">
        <is>
          <t>W14</t>
        </is>
      </c>
      <c r="C7" s="2" t="inlineStr">
        <is>
          <t>07/12/2026</t>
        </is>
      </c>
      <c r="D7" s="2" t="inlineStr">
        <is>
          <t>13/12/2026</t>
        </is>
      </c>
      <c r="E7" s="2" t="inlineStr">
        <is>
          <t>Closing: Final Project Report, Presentation</t>
        </is>
      </c>
      <c r="F7" s="2">
        <f>COUNTIF(Backlog!$F:$F,A7)</f>
        <v/>
      </c>
      <c r="G7" s="2">
        <f>SUMIF(Backlog!$F:$F,A7,Backlog!$H:$H)</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22" customWidth="1" min="3" max="3"/>
  </cols>
  <sheetData>
    <row r="1">
      <c r="A1" s="1" t="inlineStr">
        <is>
          <t>Thành viên</t>
        </is>
      </c>
      <c r="B1" s="1" t="inlineStr">
        <is>
          <t>Vai trò</t>
        </is>
      </c>
      <c r="C1" s="1" t="inlineStr">
        <is>
          <t>Người review PR</t>
        </is>
      </c>
    </row>
    <row r="2">
      <c r="A2" s="2" t="inlineStr">
        <is>
          <t>Dũng</t>
        </is>
      </c>
      <c r="B2" s="2" t="inlineStr">
        <is>
          <t>PM; Recommendation System (FastAPI); DevOps, hạ tầng, database; Backend F-26 (AI generation roadmap item)</t>
        </is>
      </c>
      <c r="C2" s="2" t="inlineStr">
        <is>
          <t>Hưng</t>
        </is>
      </c>
    </row>
    <row r="3">
      <c r="A3" s="2" t="inlineStr">
        <is>
          <t>Hưng</t>
        </is>
      </c>
      <c r="B3" s="2" t="inlineStr">
        <is>
          <t>Backend .NET: Authentication, Restaurant, Roadmap, Moderation (nhà hàng, menu), Administration (quyền)</t>
        </is>
      </c>
      <c r="C3" s="2" t="inlineStr">
        <is>
          <t>Dũng</t>
        </is>
      </c>
    </row>
    <row r="4">
      <c r="A4" s="2" t="inlineStr">
        <is>
          <t>Trọng</t>
        </is>
      </c>
      <c r="B4" s="2" t="inlineStr">
        <is>
          <t>Backend .NET: Account, Discovery, Notification, Blog, Feedback &amp; Report, Moderation (người dùng, nội dung)</t>
        </is>
      </c>
      <c r="C4" s="2" t="inlineStr">
        <is>
          <t>Dũng</t>
        </is>
      </c>
    </row>
    <row r="5">
      <c r="A5" s="2" t="inlineStr">
        <is>
          <t>Tuấn</t>
        </is>
      </c>
      <c r="B5" s="2" t="inlineStr">
        <is>
          <t>Frontend Next.js: Owner portal, Roadmap, Admin</t>
        </is>
      </c>
      <c r="C5" s="2" t="inlineStr">
        <is>
          <t>Dũng</t>
        </is>
      </c>
    </row>
    <row r="6">
      <c r="A6" s="2" t="inlineStr">
        <is>
          <t>Đức</t>
        </is>
      </c>
      <c r="B6" s="2" t="inlineStr">
        <is>
          <t>Frontend Next.js: Auth, Discovery, Blog, Moderation; Test docs, User Guide</t>
        </is>
      </c>
      <c r="C6" s="2" t="inlineStr">
        <is>
          <t>Tuấn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60" customWidth="1" min="3" max="3"/>
    <col width="12" customWidth="1" min="4" max="4"/>
    <col width="12" customWidth="1" min="5" max="5"/>
    <col width="10" customWidth="1" min="6" max="6"/>
    <col width="12" customWidth="1" min="7" max="7"/>
  </cols>
  <sheetData>
    <row r="1">
      <c r="A1" s="1" t="inlineStr">
        <is>
          <t>Epic key</t>
        </is>
      </c>
      <c r="B1" s="1" t="inlineStr">
        <is>
          <t>Epic</t>
        </is>
      </c>
      <c r="C1" s="1" t="inlineStr">
        <is>
          <t>Phạm vi</t>
        </is>
      </c>
      <c r="D1" s="1" t="inlineStr">
        <is>
          <t>Start Date</t>
        </is>
      </c>
      <c r="E1" s="1" t="inlineStr">
        <is>
          <t>End Date</t>
        </is>
      </c>
      <c r="F1" s="1" t="inlineStr">
        <is>
          <t>Số task</t>
        </is>
      </c>
      <c r="G1" s="1" t="inlineStr">
        <is>
          <t>Story points</t>
        </is>
      </c>
    </row>
    <row r="2">
      <c r="A2" s="2" t="inlineStr">
        <is>
          <t>EP-SETUP</t>
        </is>
      </c>
      <c r="B2" s="2" t="inlineStr">
        <is>
          <t>Project Setup &amp; Infrastructure</t>
        </is>
      </c>
      <c r="C2" s="2" t="inlineStr">
        <is>
          <t>Repo, CI/CD, solution skeleton, DB migration, seed data, shared services</t>
        </is>
      </c>
      <c r="D2" s="2" t="inlineStr">
        <is>
          <t>05/10/2026</t>
        </is>
      </c>
      <c r="E2" s="2" t="inlineStr">
        <is>
          <t>08/11/2026</t>
        </is>
      </c>
      <c r="F2" s="2">
        <f>COUNTIF(Backlog!$G:$G,A2)</f>
        <v/>
      </c>
      <c r="G2" s="2">
        <f>SUMIF(Backlog!$G:$G,A2,Backlog!$H:$H)</f>
        <v/>
      </c>
    </row>
    <row r="3">
      <c r="A3" s="2" t="inlineStr">
        <is>
          <t>EP-AUTH</t>
        </is>
      </c>
      <c r="B3" s="2" t="inlineStr">
        <is>
          <t>Authentication &amp; Account</t>
        </is>
      </c>
      <c r="C3" s="2" t="inlineStr">
        <is>
          <t>F-01..F-08</t>
        </is>
      </c>
      <c r="D3" s="2" t="inlineStr">
        <is>
          <t>12/10/2026</t>
        </is>
      </c>
      <c r="E3" s="2" t="inlineStr">
        <is>
          <t>20/10/2026</t>
        </is>
      </c>
      <c r="F3" s="2">
        <f>COUNTIF(Backlog!$G:$G,A3)</f>
        <v/>
      </c>
      <c r="G3" s="2">
        <f>SUMIF(Backlog!$G:$G,A3,Backlog!$H:$H)</f>
        <v/>
      </c>
    </row>
    <row r="4">
      <c r="A4" s="2" t="inlineStr">
        <is>
          <t>EP-NOTI</t>
        </is>
      </c>
      <c r="B4" s="2" t="inlineStr">
        <is>
          <t>Notification</t>
        </is>
      </c>
      <c r="C4" s="2" t="inlineStr">
        <is>
          <t>F-09..F-10</t>
        </is>
      </c>
      <c r="D4" s="2" t="inlineStr">
        <is>
          <t>26/10/2026</t>
        </is>
      </c>
      <c r="E4" s="2" t="inlineStr">
        <is>
          <t>27/10/2026</t>
        </is>
      </c>
      <c r="F4" s="2">
        <f>COUNTIF(Backlog!$G:$G,A4)</f>
        <v/>
      </c>
      <c r="G4" s="2">
        <f>SUMIF(Backlog!$G:$G,A4,Backlog!$H:$H)</f>
        <v/>
      </c>
    </row>
    <row r="5">
      <c r="A5" s="2" t="inlineStr">
        <is>
          <t>EP-DISC</t>
        </is>
      </c>
      <c r="B5" s="2" t="inlineStr">
        <is>
          <t>Dish &amp; Restaurant Discovery</t>
        </is>
      </c>
      <c r="C5" s="2" t="inlineStr">
        <is>
          <t>F-11..F-18</t>
        </is>
      </c>
      <c r="D5" s="2" t="inlineStr">
        <is>
          <t>12/10/2026</t>
        </is>
      </c>
      <c r="E5" s="2" t="inlineStr">
        <is>
          <t>20/10/2026</t>
        </is>
      </c>
      <c r="F5" s="2">
        <f>COUNTIF(Backlog!$G:$G,A5)</f>
        <v/>
      </c>
      <c r="G5" s="2">
        <f>SUMIF(Backlog!$G:$G,A5,Backlog!$H:$H)</f>
        <v/>
      </c>
    </row>
    <row r="6">
      <c r="A6" s="2" t="inlineStr">
        <is>
          <t>EP-ROAD</t>
        </is>
      </c>
      <c r="B6" s="2" t="inlineStr">
        <is>
          <t>Roadmap</t>
        </is>
      </c>
      <c r="C6" s="2" t="inlineStr">
        <is>
          <t>F-19..F-30</t>
        </is>
      </c>
      <c r="D6" s="2" t="inlineStr">
        <is>
          <t>26/10/2026</t>
        </is>
      </c>
      <c r="E6" s="2" t="inlineStr">
        <is>
          <t>03/11/2026</t>
        </is>
      </c>
      <c r="F6" s="2">
        <f>COUNTIF(Backlog!$G:$G,A6)</f>
        <v/>
      </c>
      <c r="G6" s="2">
        <f>SUMIF(Backlog!$G:$G,A6,Backlog!$H:$H)</f>
        <v/>
      </c>
    </row>
    <row r="7">
      <c r="A7" s="2" t="inlineStr">
        <is>
          <t>EP-FBR</t>
        </is>
      </c>
      <c r="B7" s="2" t="inlineStr">
        <is>
          <t>Restaurant Feedback &amp; Report</t>
        </is>
      </c>
      <c r="C7" s="2" t="inlineStr">
        <is>
          <t>F-31..F-33</t>
        </is>
      </c>
      <c r="D7" s="2" t="inlineStr">
        <is>
          <t>31/10/2026</t>
        </is>
      </c>
      <c r="E7" s="2" t="inlineStr">
        <is>
          <t>03/11/2026</t>
        </is>
      </c>
      <c r="F7" s="2">
        <f>COUNTIF(Backlog!$G:$G,A7)</f>
        <v/>
      </c>
      <c r="G7" s="2">
        <f>SUMIF(Backlog!$G:$G,A7,Backlog!$H:$H)</f>
        <v/>
      </c>
    </row>
    <row r="8">
      <c r="A8" s="2" t="inlineStr">
        <is>
          <t>EP-BLOG</t>
        </is>
      </c>
      <c r="B8" s="2" t="inlineStr">
        <is>
          <t>Blog</t>
        </is>
      </c>
      <c r="C8" s="2" t="inlineStr">
        <is>
          <t>F-34..F-42</t>
        </is>
      </c>
      <c r="D8" s="2" t="inlineStr">
        <is>
          <t>26/10/2026</t>
        </is>
      </c>
      <c r="E8" s="2" t="inlineStr">
        <is>
          <t>02/11/2026</t>
        </is>
      </c>
      <c r="F8" s="2">
        <f>COUNTIF(Backlog!$G:$G,A8)</f>
        <v/>
      </c>
      <c r="G8" s="2">
        <f>SUMIF(Backlog!$G:$G,A8,Backlog!$H:$H)</f>
        <v/>
      </c>
    </row>
    <row r="9">
      <c r="A9" s="2" t="inlineStr">
        <is>
          <t>EP-REST</t>
        </is>
      </c>
      <c r="B9" s="2" t="inlineStr">
        <is>
          <t>Restaurant Management</t>
        </is>
      </c>
      <c r="C9" s="2" t="inlineStr">
        <is>
          <t>F-43..F-51</t>
        </is>
      </c>
      <c r="D9" s="2" t="inlineStr">
        <is>
          <t>12/10/2026</t>
        </is>
      </c>
      <c r="E9" s="2" t="inlineStr">
        <is>
          <t>20/10/2026</t>
        </is>
      </c>
      <c r="F9" s="2">
        <f>COUNTIF(Backlog!$G:$G,A9)</f>
        <v/>
      </c>
      <c r="G9" s="2">
        <f>SUMIF(Backlog!$G:$G,A9,Backlog!$H:$H)</f>
        <v/>
      </c>
    </row>
    <row r="10">
      <c r="A10" s="2" t="inlineStr">
        <is>
          <t>EP-MOD</t>
        </is>
      </c>
      <c r="B10" s="2" t="inlineStr">
        <is>
          <t>Moderation</t>
        </is>
      </c>
      <c r="C10" s="2" t="inlineStr">
        <is>
          <t>F-52..F-62</t>
        </is>
      </c>
      <c r="D10" s="2" t="inlineStr">
        <is>
          <t>09/11/2026</t>
        </is>
      </c>
      <c r="E10" s="2" t="inlineStr">
        <is>
          <t>17/11/2026</t>
        </is>
      </c>
      <c r="F10" s="2">
        <f>COUNTIF(Backlog!$G:$G,A10)</f>
        <v/>
      </c>
      <c r="G10" s="2">
        <f>SUMIF(Backlog!$G:$G,A10,Backlog!$H:$H)</f>
        <v/>
      </c>
    </row>
    <row r="11">
      <c r="A11" s="2" t="inlineStr">
        <is>
          <t>EP-ADMIN</t>
        </is>
      </c>
      <c r="B11" s="2" t="inlineStr">
        <is>
          <t>Administration</t>
        </is>
      </c>
      <c r="C11" s="2" t="inlineStr">
        <is>
          <t>F-63..F-66</t>
        </is>
      </c>
      <c r="D11" s="2" t="inlineStr">
        <is>
          <t>09/11/2026</t>
        </is>
      </c>
      <c r="E11" s="2" t="inlineStr">
        <is>
          <t>16/11/2026</t>
        </is>
      </c>
      <c r="F11" s="2">
        <f>COUNTIF(Backlog!$G:$G,A11)</f>
        <v/>
      </c>
      <c r="G11" s="2">
        <f>SUMIF(Backlog!$G:$G,A11,Backlog!$H:$H)</f>
        <v/>
      </c>
    </row>
    <row r="12">
      <c r="A12" s="2" t="inlineStr">
        <is>
          <t>EP-RECO</t>
        </is>
      </c>
      <c r="B12" s="2" t="inlineStr">
        <is>
          <t>Recommendation System</t>
        </is>
      </c>
      <c r="C12" s="2" t="inlineStr">
        <is>
          <t>Recommendation service (FastAPI) phase 1-3</t>
        </is>
      </c>
      <c r="D12" s="2" t="inlineStr">
        <is>
          <t>12/10/2026</t>
        </is>
      </c>
      <c r="E12" s="2" t="inlineStr">
        <is>
          <t>16/11/2026</t>
        </is>
      </c>
      <c r="F12" s="2">
        <f>COUNTIF(Backlog!$G:$G,A12)</f>
        <v/>
      </c>
      <c r="G12" s="2">
        <f>SUMIF(Backlog!$G:$G,A12,Backlog!$H:$H)</f>
        <v/>
      </c>
    </row>
    <row r="13">
      <c r="A13" s="2" t="inlineStr">
        <is>
          <t>EP-DOC</t>
        </is>
      </c>
      <c r="B13" s="2" t="inlineStr">
        <is>
          <t>Documentation &amp; Reports</t>
        </is>
      </c>
      <c r="C13" s="2" t="inlineStr">
        <is>
          <t>SRS, SDS, Test docs, User Guides, Final Report</t>
        </is>
      </c>
      <c r="D13" s="2" t="inlineStr">
        <is>
          <t>05/10/2026</t>
        </is>
      </c>
      <c r="E13" s="2" t="inlineStr">
        <is>
          <t>13/12/2026</t>
        </is>
      </c>
      <c r="F13" s="2">
        <f>COUNTIF(Backlog!$G:$G,A13)</f>
        <v/>
      </c>
      <c r="G13" s="2">
        <f>SUMIF(Backlog!$G:$G,A13,Backlog!$H:$H)</f>
        <v/>
      </c>
    </row>
    <row r="14">
      <c r="A14" s="2" t="inlineStr">
        <is>
          <t>EP-QA</t>
        </is>
      </c>
      <c r="B14" s="2" t="inlineStr">
        <is>
          <t>Testing &amp; Release</t>
        </is>
      </c>
      <c r="C14" s="2" t="inlineStr">
        <is>
          <t>Integration/System/Acceptance test, bug fixing, software packages</t>
        </is>
      </c>
      <c r="D14" s="2" t="inlineStr">
        <is>
          <t>19/10/2026</t>
        </is>
      </c>
      <c r="E14" s="2" t="inlineStr">
        <is>
          <t>06/12/2026</t>
        </is>
      </c>
      <c r="F14" s="2">
        <f>COUNTIF(Backlog!$G:$G,A14)</f>
        <v/>
      </c>
      <c r="G14" s="2">
        <f>SUMIF(Backlog!$G:$G,A14,Backlog!$H:$H)</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12"/>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48" customWidth="1" min="3" max="3"/>
    <col width="70" customWidth="1" min="4" max="4"/>
    <col width="20" customWidth="1" min="5" max="5"/>
    <col width="15" customWidth="1" min="6" max="6"/>
    <col width="11" customWidth="1" min="7" max="7"/>
    <col width="8" customWidth="1" min="8" max="8"/>
    <col width="12" customWidth="1" min="9" max="9"/>
    <col width="12" customWidth="1" min="10" max="10"/>
    <col width="18" customWidth="1" min="11" max="11"/>
    <col width="11" customWidth="1" min="12" max="12"/>
    <col width="10" customWidth="1" min="13" max="13"/>
    <col width="10" customWidth="1" min="14" max="14"/>
    <col width="10" customWidth="1" min="15" max="15"/>
  </cols>
  <sheetData>
    <row r="1">
      <c r="A1" s="1" t="inlineStr">
        <is>
          <t>Issue ID</t>
        </is>
      </c>
      <c r="B1" s="1" t="inlineStr">
        <is>
          <t>Type</t>
        </is>
      </c>
      <c r="C1" s="1" t="inlineStr">
        <is>
          <t>Summary</t>
        </is>
      </c>
      <c r="D1" s="1" t="inlineStr">
        <is>
          <t>Description</t>
        </is>
      </c>
      <c r="E1" s="1" t="inlineStr">
        <is>
          <t>Assignee</t>
        </is>
      </c>
      <c r="F1" s="1" t="inlineStr">
        <is>
          <t>Sprint</t>
        </is>
      </c>
      <c r="G1" s="1" t="inlineStr">
        <is>
          <t>Epic</t>
        </is>
      </c>
      <c r="H1" s="1" t="inlineStr">
        <is>
          <t>Story Points</t>
        </is>
      </c>
      <c r="I1" s="1" t="inlineStr">
        <is>
          <t>Start Date</t>
        </is>
      </c>
      <c r="J1" s="1" t="inlineStr">
        <is>
          <t>Due Date</t>
        </is>
      </c>
      <c r="K1" s="1" t="inlineStr">
        <is>
          <t>Labels</t>
        </is>
      </c>
      <c r="L1" s="1" t="inlineStr">
        <is>
          <t>Jira key</t>
        </is>
      </c>
      <c r="M1" s="1" t="inlineStr">
        <is>
          <t>Critical path</t>
        </is>
      </c>
      <c r="N1" s="1" t="inlineStr">
        <is>
          <t>Float (ngày)</t>
        </is>
      </c>
      <c r="O1" s="1" t="inlineStr">
        <is>
          <t>Priority</t>
        </is>
      </c>
    </row>
    <row r="2">
      <c r="A2" s="2" t="inlineStr">
        <is>
          <t>T133</t>
        </is>
      </c>
      <c r="B2" s="2" t="inlineStr">
        <is>
          <t>Task</t>
        </is>
      </c>
      <c r="C2" s="2" t="inlineStr">
        <is>
          <t>Tạo GitHub repo (backend, frontend, reco), branch strategy, PR template, rule review</t>
        </is>
      </c>
      <c r="D2" s="2" t="inlineStr">
        <is>
          <t>Cấu hình đúng commit_guide.md: nhánh main/dev, nhánh làm việc &lt;type&gt;/ANGI-xxx-mô-tả tạo từ dev; PR vào dev, squash merge, cần 1 approve. Bảo vệ main và dev (không push thẳng).</t>
        </is>
      </c>
      <c r="E2" s="2" t="inlineStr">
        <is>
          <t>Dũng</t>
        </is>
      </c>
      <c r="F2" s="2" t="inlineStr">
        <is>
          <t>ANGI Sprint 0</t>
        </is>
      </c>
      <c r="G2" s="2" t="inlineStr">
        <is>
          <t>EP-SETUP</t>
        </is>
      </c>
      <c r="H2" s="2" t="n">
        <v>2</v>
      </c>
      <c r="I2" s="2" t="inlineStr">
        <is>
          <t>05/10/2026</t>
        </is>
      </c>
      <c r="J2" s="2" t="inlineStr">
        <is>
          <t>05/10/2026</t>
        </is>
      </c>
      <c r="K2" s="2" t="inlineStr">
        <is>
          <t>devops</t>
        </is>
      </c>
      <c r="L2" s="2" t="inlineStr">
        <is>
          <t>ANGI-14</t>
        </is>
      </c>
      <c r="M2" s="2" t="inlineStr"/>
      <c r="N2" s="2" t="n">
        <v>8.300000000000001</v>
      </c>
      <c r="O2" s="2" t="inlineStr">
        <is>
          <t>Medium</t>
        </is>
      </c>
    </row>
    <row r="3">
      <c r="A3" s="2" t="inlineStr">
        <is>
          <t>T157</t>
        </is>
      </c>
      <c r="B3" s="2" t="inlineStr">
        <is>
          <t>Task</t>
        </is>
      </c>
      <c r="C3" s="2" t="inlineStr">
        <is>
          <t>Report 4: SDS v1.0 (High Level Design)</t>
        </is>
      </c>
      <c r="D3" s="2" t="inlineStr">
        <is>
          <t>Cả team cùng viết, mỗi người viết phần module/feature mình làm. Dũng tổng hợp và duyệt cuối.</t>
        </is>
      </c>
      <c r="E3" s="2" t="inlineStr">
        <is>
          <t>Dũng</t>
        </is>
      </c>
      <c r="F3" s="2" t="inlineStr">
        <is>
          <t>ANGI Sprint 0</t>
        </is>
      </c>
      <c r="G3" s="2" t="inlineStr">
        <is>
          <t>EP-DOC</t>
        </is>
      </c>
      <c r="H3" s="2" t="n">
        <v>3</v>
      </c>
      <c r="I3" s="2" t="inlineStr">
        <is>
          <t>05/10/2026</t>
        </is>
      </c>
      <c r="J3" s="2" t="inlineStr">
        <is>
          <t>05/10/2026</t>
        </is>
      </c>
      <c r="K3" s="2" t="inlineStr">
        <is>
          <t>docs</t>
        </is>
      </c>
      <c r="L3" s="2" t="inlineStr">
        <is>
          <t>ANGI-15</t>
        </is>
      </c>
      <c r="M3" s="2" t="inlineStr"/>
      <c r="N3" s="2" t="n">
        <v>69</v>
      </c>
      <c r="O3" s="2" t="inlineStr">
        <is>
          <t>Medium</t>
        </is>
      </c>
    </row>
    <row r="4">
      <c r="A4" s="2" t="inlineStr">
        <is>
          <t>T134</t>
        </is>
      </c>
      <c r="B4" s="2" t="inlineStr">
        <is>
          <t>Task</t>
        </is>
      </c>
      <c r="C4" s="2" t="inlineStr">
        <is>
          <t>Docker Compose môi trường dev: PostgreSQL 16 + pgvector</t>
        </is>
      </c>
      <c r="D4" s="2" t="inlineStr">
        <is>
          <t>Mỗi dev chạy được DB local bằng 1 lệnh; tạo 2 DB role riêng cho backend (schema core) và reco (schema recommendation) như project_architecture.md mục 6. Viết hướng dẫn chạy vào README.</t>
        </is>
      </c>
      <c r="E4" s="2" t="inlineStr">
        <is>
          <t>Dũng</t>
        </is>
      </c>
      <c r="F4" s="2" t="inlineStr">
        <is>
          <t>ANGI Sprint 0</t>
        </is>
      </c>
      <c r="G4" s="2" t="inlineStr">
        <is>
          <t>EP-SETUP</t>
        </is>
      </c>
      <c r="H4" s="2" t="n">
        <v>2</v>
      </c>
      <c r="I4" s="2" t="inlineStr">
        <is>
          <t>05/10/2026</t>
        </is>
      </c>
      <c r="J4" s="2" t="inlineStr">
        <is>
          <t>06/10/2026</t>
        </is>
      </c>
      <c r="K4" s="2" t="inlineStr">
        <is>
          <t>devops</t>
        </is>
      </c>
      <c r="L4" s="2" t="inlineStr">
        <is>
          <t>ANGI-16</t>
        </is>
      </c>
      <c r="M4" s="2" t="inlineStr"/>
      <c r="N4" s="2" t="n">
        <v>8.5</v>
      </c>
      <c r="O4" s="2" t="inlineStr">
        <is>
          <t>Medium</t>
        </is>
      </c>
    </row>
    <row r="5">
      <c r="A5" s="2" t="inlineStr">
        <is>
          <t>T140</t>
        </is>
      </c>
      <c r="B5" s="2" t="inlineStr">
        <is>
          <t>Task</t>
        </is>
      </c>
      <c r="C5" s="2" t="inlineStr">
        <is>
          <t>Shared service: upload ảnh/tài liệu (Cloudinary)</t>
        </is>
      </c>
      <c r="D5" s="2" t="inlineStr">
        <is>
          <t>Interface ở Application/Common/Interfaces/Services, implementation ở Infrastructure/Services (project_architecture.md mục 2). Dùng cho MEDIA-01 và bảng media_files.</t>
        </is>
      </c>
      <c r="E5" s="2" t="inlineStr">
        <is>
          <t>Hưng</t>
        </is>
      </c>
      <c r="F5" s="2" t="inlineStr">
        <is>
          <t>ANGI Sprint 0</t>
        </is>
      </c>
      <c r="G5" s="2" t="inlineStr">
        <is>
          <t>EP-SETUP</t>
        </is>
      </c>
      <c r="H5" s="2" t="n">
        <v>2</v>
      </c>
      <c r="I5" s="2" t="inlineStr">
        <is>
          <t>05/10/2026</t>
        </is>
      </c>
      <c r="J5" s="2" t="inlineStr">
        <is>
          <t>07/10/2026</t>
        </is>
      </c>
      <c r="K5" s="2" t="inlineStr">
        <is>
          <t>backend</t>
        </is>
      </c>
      <c r="L5" s="2" t="inlineStr">
        <is>
          <t>ANGI-17</t>
        </is>
      </c>
      <c r="M5" s="2" t="inlineStr"/>
      <c r="N5" s="2" t="n">
        <v>11.5</v>
      </c>
      <c r="O5" s="2" t="inlineStr">
        <is>
          <t>Medium</t>
        </is>
      </c>
    </row>
    <row r="6">
      <c r="A6" s="2" t="inlineStr">
        <is>
          <t>T141</t>
        </is>
      </c>
      <c r="B6" s="2" t="inlineStr">
        <is>
          <t>Task</t>
        </is>
      </c>
      <c r="C6" s="2" t="inlineStr">
        <is>
          <t>Shared service: gửi email (Brevo) + template xác minh / reset mật khẩu</t>
        </is>
      </c>
      <c r="D6" s="2" t="inlineStr">
        <is>
          <t>Interface ở Application/Common/Interfaces/Services, implementation ở Infrastructure/Services (project_architecture.md mục 2). Dùng cho F-01, F-02, F-05.</t>
        </is>
      </c>
      <c r="E6" s="2" t="inlineStr">
        <is>
          <t>Trọng</t>
        </is>
      </c>
      <c r="F6" s="2" t="inlineStr">
        <is>
          <t>ANGI Sprint 0</t>
        </is>
      </c>
      <c r="G6" s="2" t="inlineStr">
        <is>
          <t>EP-SETUP</t>
        </is>
      </c>
      <c r="H6" s="2" t="n">
        <v>2</v>
      </c>
      <c r="I6" s="2" t="inlineStr">
        <is>
          <t>05/10/2026</t>
        </is>
      </c>
      <c r="J6" s="2" t="inlineStr">
        <is>
          <t>08/10/2026</t>
        </is>
      </c>
      <c r="K6" s="2" t="inlineStr">
        <is>
          <t>backend</t>
        </is>
      </c>
      <c r="L6" s="2" t="inlineStr">
        <is>
          <t>ANGI-18</t>
        </is>
      </c>
      <c r="M6" s="2" t="inlineStr"/>
      <c r="N6" s="2" t="n">
        <v>10.8</v>
      </c>
      <c r="O6" s="2" t="inlineStr">
        <is>
          <t>Medium</t>
        </is>
      </c>
    </row>
    <row r="7">
      <c r="A7" s="2" t="inlineStr">
        <is>
          <t>T142</t>
        </is>
      </c>
      <c r="B7" s="2" t="inlineStr">
        <is>
          <t>Task</t>
        </is>
      </c>
      <c r="C7" s="2" t="inlineStr">
        <is>
          <t>Khung Next.js: layout, routing theo role, API client, auth guard, UI kit</t>
        </is>
      </c>
      <c r="D7" s="2" t="inlineStr">
        <is>
          <t>API client đọc base URL từ env, lấy dữ liệu từ field data của ApiResponse, rẽ nhánh lỗi theo errorCode (sheet Mã lỗi của ANGI_API_Design_Ver1.7), xử lý refresh token (AUTH-06).</t>
        </is>
      </c>
      <c r="E7" s="2" t="inlineStr">
        <is>
          <t>Tuấn</t>
        </is>
      </c>
      <c r="F7" s="2" t="inlineStr">
        <is>
          <t>ANGI Sprint 0</t>
        </is>
      </c>
      <c r="G7" s="2" t="inlineStr">
        <is>
          <t>EP-SETUP</t>
        </is>
      </c>
      <c r="H7" s="2" t="n">
        <v>5</v>
      </c>
      <c r="I7" s="2" t="inlineStr">
        <is>
          <t>05/10/2026</t>
        </is>
      </c>
      <c r="J7" s="2" t="inlineStr">
        <is>
          <t>11/10/2026</t>
        </is>
      </c>
      <c r="K7" s="2" t="inlineStr">
        <is>
          <t>frontend</t>
        </is>
      </c>
      <c r="L7" s="2" t="inlineStr">
        <is>
          <t>ANGI-19</t>
        </is>
      </c>
      <c r="M7" s="2" t="inlineStr"/>
      <c r="N7" s="2" t="n">
        <v>8.1</v>
      </c>
      <c r="O7" s="2" t="inlineStr">
        <is>
          <t>High</t>
        </is>
      </c>
    </row>
    <row r="8">
      <c r="A8" s="2" t="inlineStr">
        <is>
          <t>T143</t>
        </is>
      </c>
      <c r="B8" s="2" t="inlineStr">
        <is>
          <t>Task</t>
        </is>
      </c>
      <c r="C8" s="2" t="inlineStr">
        <is>
          <t>Wireframe/mockup các màn hình Iteration 1</t>
        </is>
      </c>
      <c r="D8" s="2" t="inlineStr">
        <is>
          <t>Theo các use case Iteration 1 trong ANGI_Use_Case_Basic_Descriptions_Ver1.0.</t>
        </is>
      </c>
      <c r="E8" s="2" t="inlineStr">
        <is>
          <t>Đức</t>
        </is>
      </c>
      <c r="F8" s="2" t="inlineStr">
        <is>
          <t>ANGI Sprint 0</t>
        </is>
      </c>
      <c r="G8" s="2" t="inlineStr">
        <is>
          <t>EP-SETUP</t>
        </is>
      </c>
      <c r="H8" s="2" t="n">
        <v>3</v>
      </c>
      <c r="I8" s="2" t="inlineStr">
        <is>
          <t>05/10/2026</t>
        </is>
      </c>
      <c r="J8" s="2" t="inlineStr">
        <is>
          <t>11/10/2026</t>
        </is>
      </c>
      <c r="K8" s="2" t="inlineStr">
        <is>
          <t>frontend</t>
        </is>
      </c>
      <c r="L8" s="2" t="inlineStr">
        <is>
          <t>ANGI-20</t>
        </is>
      </c>
      <c r="M8" s="2" t="inlineStr"/>
      <c r="N8" s="2" t="n">
        <v>8.1</v>
      </c>
      <c r="O8" s="2" t="inlineStr">
        <is>
          <t>Medium</t>
        </is>
      </c>
    </row>
    <row r="9">
      <c r="A9" s="2" t="inlineStr">
        <is>
          <t>T135</t>
        </is>
      </c>
      <c r="B9" s="2" t="inlineStr">
        <is>
          <t>Task</t>
        </is>
      </c>
      <c r="C9" s="2" t="inlineStr">
        <is>
          <t>Database: ANGIContext schema core, base class, initial migration</t>
        </is>
      </c>
      <c r="D9" s="2" t="inlineStr">
        <is>
          <t>Map toàn bộ bảng schema core theo ANGI_Data_Dictionary_Ver1.1 vào ANGIContext (IEntityTypeConfiguration mỗi bảng), BaseEntity + ISoftDelete, enum lưu đúng giá trị chữ thường như sheet Enum của ANGI_API_Design_Ver1.7. Initial migration gồm cả CHECK, citext và trigger outbox (migrationBuilder.Sql). Từ đây schema core chỉ đổi qua EF migration (commit_guide.md mục 10). | Làm sau: Docker Compose môi trường dev: PostgreSQL 16 + pgvector.</t>
        </is>
      </c>
      <c r="E9" s="2" t="inlineStr">
        <is>
          <t>Dũng</t>
        </is>
      </c>
      <c r="F9" s="2" t="inlineStr">
        <is>
          <t>ANGI Sprint 0</t>
        </is>
      </c>
      <c r="G9" s="2" t="inlineStr">
        <is>
          <t>EP-SETUP</t>
        </is>
      </c>
      <c r="H9" s="2" t="n">
        <v>5</v>
      </c>
      <c r="I9" s="2" t="inlineStr">
        <is>
          <t>06/10/2026</t>
        </is>
      </c>
      <c r="J9" s="2" t="inlineStr">
        <is>
          <t>08/10/2026</t>
        </is>
      </c>
      <c r="K9" s="2" t="inlineStr">
        <is>
          <t>devops</t>
        </is>
      </c>
      <c r="L9" s="2" t="inlineStr">
        <is>
          <t>ANGI-21</t>
        </is>
      </c>
      <c r="M9" s="2" t="inlineStr"/>
      <c r="N9" s="2" t="n">
        <v>8.5</v>
      </c>
      <c r="O9" s="2" t="inlineStr">
        <is>
          <t>High</t>
        </is>
      </c>
    </row>
    <row r="10">
      <c r="A10" s="2" t="inlineStr">
        <is>
          <t>T158</t>
        </is>
      </c>
      <c r="B10" s="2" t="inlineStr">
        <is>
          <t>Task</t>
        </is>
      </c>
      <c r="C10" s="2" t="inlineStr">
        <is>
          <t>Report 5: Test Planning</t>
        </is>
      </c>
      <c r="D10" s="2" t="inlineStr">
        <is>
          <t>Report 5: Test Planning</t>
        </is>
      </c>
      <c r="E10" s="2" t="inlineStr">
        <is>
          <t>Đức</t>
        </is>
      </c>
      <c r="F10" s="2" t="inlineStr">
        <is>
          <t>ANGI Sprint 0</t>
        </is>
      </c>
      <c r="G10" s="2" t="inlineStr">
        <is>
          <t>EP-DOC</t>
        </is>
      </c>
      <c r="H10" s="2" t="n">
        <v>2</v>
      </c>
      <c r="I10" s="2" t="inlineStr">
        <is>
          <t>07/10/2026</t>
        </is>
      </c>
      <c r="J10" s="2" t="inlineStr">
        <is>
          <t>08/10/2026</t>
        </is>
      </c>
      <c r="K10" s="2" t="inlineStr">
        <is>
          <t>docs</t>
        </is>
      </c>
      <c r="L10" s="2" t="inlineStr">
        <is>
          <t>ANGI-22</t>
        </is>
      </c>
      <c r="M10" s="2" t="inlineStr"/>
      <c r="N10" s="2" t="n">
        <v>66</v>
      </c>
      <c r="O10" s="2" t="inlineStr">
        <is>
          <t>Medium</t>
        </is>
      </c>
    </row>
    <row r="11">
      <c r="A11" s="2" t="inlineStr">
        <is>
          <t>T139</t>
        </is>
      </c>
      <c r="B11" s="2" t="inlineStr">
        <is>
          <t>Task</t>
        </is>
      </c>
      <c r="C11" s="2" t="inlineStr">
        <is>
          <t>Backend: ExceptionHandlingMiddleware, cấu hình JWT, CORS, rate limit</t>
        </is>
      </c>
      <c r="D11" s="2" t="inlineStr">
        <is>
          <t>Mọi response bọc trong ApiResponse&lt;T&gt; (success, message, errorCode, data, errors) theo coding_rule.md mục 5. Middleware map exception sang status + errorCode theo coding_rule.md mục 7 và sheet Mã lỗi của ANGI_API_Design_Ver1.7; 401, 403, 429 và lỗi model binding cũng trả ApiResponse. JWT, CORS, rate limit theo project_architecture.md mục 4–5.</t>
        </is>
      </c>
      <c r="E11" s="2" t="inlineStr">
        <is>
          <t>Hưng</t>
        </is>
      </c>
      <c r="F11" s="2" t="inlineStr">
        <is>
          <t>ANGI Sprint 0</t>
        </is>
      </c>
      <c r="G11" s="2" t="inlineStr">
        <is>
          <t>EP-SETUP</t>
        </is>
      </c>
      <c r="H11" s="2" t="n">
        <v>3</v>
      </c>
      <c r="I11" s="2" t="inlineStr">
        <is>
          <t>07/10/2026</t>
        </is>
      </c>
      <c r="J11" s="2" t="inlineStr">
        <is>
          <t>11/10/2026</t>
        </is>
      </c>
      <c r="K11" s="2" t="inlineStr">
        <is>
          <t>backend</t>
        </is>
      </c>
      <c r="L11" s="2" t="inlineStr">
        <is>
          <t>ANGI-23</t>
        </is>
      </c>
      <c r="M11" s="2" t="inlineStr"/>
      <c r="N11" s="2" t="n">
        <v>6.4</v>
      </c>
      <c r="O11" s="2" t="inlineStr">
        <is>
          <t>Medium</t>
        </is>
      </c>
    </row>
    <row r="12">
      <c r="A12" s="2" t="inlineStr">
        <is>
          <t>T136</t>
        </is>
      </c>
      <c r="B12" s="2" t="inlineStr">
        <is>
          <t>Task</t>
        </is>
      </c>
      <c r="C12" s="2" t="inlineStr">
        <is>
          <t>CI GitHub Actions: build + unit test cho .NET, FastAPI, Next.js</t>
        </is>
      </c>
      <c r="D12" s="2" t="inlineStr">
        <is>
          <t>Chạy cho mọi PR vào dev; PR đỏ thì không được merge. | Làm sau: Database: ANGIContext schema core, base class, initial migration.</t>
        </is>
      </c>
      <c r="E12" s="2" t="inlineStr">
        <is>
          <t>Dũng</t>
        </is>
      </c>
      <c r="F12" s="2" t="inlineStr">
        <is>
          <t>ANGI Sprint 0</t>
        </is>
      </c>
      <c r="G12" s="2" t="inlineStr">
        <is>
          <t>EP-SETUP</t>
        </is>
      </c>
      <c r="H12" s="2" t="n">
        <v>3</v>
      </c>
      <c r="I12" s="2" t="inlineStr">
        <is>
          <t>08/10/2026</t>
        </is>
      </c>
      <c r="J12" s="2" t="inlineStr">
        <is>
          <t>09/10/2026</t>
        </is>
      </c>
      <c r="K12" s="2" t="inlineStr">
        <is>
          <t>devops</t>
        </is>
      </c>
      <c r="L12" s="2" t="inlineStr">
        <is>
          <t>ANGI-24</t>
        </is>
      </c>
      <c r="M12" s="2" t="inlineStr"/>
      <c r="N12" s="2" t="n">
        <v>65.8</v>
      </c>
      <c r="O12" s="2" t="inlineStr">
        <is>
          <t>Medium</t>
        </is>
      </c>
    </row>
    <row r="13">
      <c r="A13" s="2" t="inlineStr">
        <is>
          <t>T144</t>
        </is>
      </c>
      <c r="B13" s="2" t="inlineStr">
        <is>
          <t>Task</t>
        </is>
      </c>
      <c r="C13" s="2" t="inlineStr">
        <is>
          <t>Ghi audit log cho thao tác quan trọng</t>
        </is>
      </c>
      <c r="D13" s="2" t="inlineStr">
        <is>
          <t>Ghi vào bảng audit_logs (ANGI_Data_Dictionary_Ver1.1): đăng nhập, khóa/mở khóa user, duyệt nhà hàng/menu, ẩn nội dung, đổi quyền. Dữ liệu cho F-55 và F-64 ở Iteration 3. | Làm sau: Database: ANGIContext schema core, base class, initial migration.</t>
        </is>
      </c>
      <c r="E13" s="2" t="inlineStr">
        <is>
          <t>Trọng</t>
        </is>
      </c>
      <c r="F13" s="2" t="inlineStr">
        <is>
          <t>ANGI Sprint 0</t>
        </is>
      </c>
      <c r="G13" s="2" t="inlineStr">
        <is>
          <t>EP-SETUP</t>
        </is>
      </c>
      <c r="H13" s="2" t="n">
        <v>2</v>
      </c>
      <c r="I13" s="2" t="inlineStr">
        <is>
          <t>08/10/2026</t>
        </is>
      </c>
      <c r="J13" s="2" t="inlineStr">
        <is>
          <t>11/10/2026</t>
        </is>
      </c>
      <c r="K13" s="2" t="inlineStr">
        <is>
          <t>backend</t>
        </is>
      </c>
      <c r="L13" s="2" t="inlineStr">
        <is>
          <t>ANGI-25</t>
        </is>
      </c>
      <c r="M13" s="2" t="inlineStr"/>
      <c r="N13" s="2" t="n">
        <v>63</v>
      </c>
      <c r="O13" s="2" t="inlineStr">
        <is>
          <t>Medium</t>
        </is>
      </c>
    </row>
    <row r="14">
      <c r="A14" s="2" t="inlineStr">
        <is>
          <t>T137</t>
        </is>
      </c>
      <c r="B14" s="2" t="inlineStr">
        <is>
          <t>Task</t>
        </is>
      </c>
      <c r="C14" s="2" t="inlineStr">
        <is>
          <t>Seed data: nhà hàng đã verify, món, user test cho mọi role</t>
        </is>
      </c>
      <c r="D14" s="2" t="inlineStr">
        <is>
          <t>Dữ liệu đúng cấu trúc ANGI_Data_Dictionary_Ver1.1, chạy lại được nhiều lần. Đủ để test Discovery và Roadmap trước khi có Moderation (Iteration 3); mỗi role có ít nhất 1 tài khoản test. Mọi quán phải có tọa độ thật (latitude/longitude bắt buộc); mỗi tỉnh test có quán ở vài quận khác nhau để thử lọc quán gần, gom cụm theo ngày và route Mapbox. | Làm sau: Database: ANGIContext schema core, base class, initial migration.</t>
        </is>
      </c>
      <c r="E14" s="2" t="inlineStr">
        <is>
          <t>Dũng</t>
        </is>
      </c>
      <c r="F14" s="2" t="inlineStr">
        <is>
          <t>ANGI Sprint 0</t>
        </is>
      </c>
      <c r="G14" s="2" t="inlineStr">
        <is>
          <t>EP-SETUP</t>
        </is>
      </c>
      <c r="H14" s="2" t="n">
        <v>5</v>
      </c>
      <c r="I14" s="2" t="inlineStr">
        <is>
          <t>09/10/2026</t>
        </is>
      </c>
      <c r="J14" s="2" t="inlineStr">
        <is>
          <t>10/10/2026</t>
        </is>
      </c>
      <c r="K14" s="2" t="inlineStr">
        <is>
          <t>devops</t>
        </is>
      </c>
      <c r="L14" s="2" t="inlineStr">
        <is>
          <t>ANGI-26</t>
        </is>
      </c>
      <c r="M14" s="2" t="inlineStr"/>
      <c r="N14" s="2" t="n">
        <v>7.4</v>
      </c>
      <c r="O14" s="2" t="inlineStr">
        <is>
          <t>High</t>
        </is>
      </c>
    </row>
    <row r="15">
      <c r="A15" s="2" t="inlineStr">
        <is>
          <t>T159</t>
        </is>
      </c>
      <c r="B15" s="2" t="inlineStr">
        <is>
          <t>Task</t>
        </is>
      </c>
      <c r="C15" s="2" t="inlineStr">
        <is>
          <t>Report 3: SRS v1.0 (Detailed Requirements Iteration 1)</t>
        </is>
      </c>
      <c r="D15" s="2" t="inlineStr">
        <is>
          <t>Cả team cùng viết, mỗi người viết phần module/feature mình làm. Dũng tổng hợp và duyệt cuối.</t>
        </is>
      </c>
      <c r="E15" s="2" t="inlineStr">
        <is>
          <t>Dũng</t>
        </is>
      </c>
      <c r="F15" s="2" t="inlineStr">
        <is>
          <t>ANGI Sprint 0</t>
        </is>
      </c>
      <c r="G15" s="2" t="inlineStr">
        <is>
          <t>EP-DOC</t>
        </is>
      </c>
      <c r="H15" s="2" t="n">
        <v>3</v>
      </c>
      <c r="I15" s="2" t="inlineStr">
        <is>
          <t>09/10/2026</t>
        </is>
      </c>
      <c r="J15" s="2" t="inlineStr">
        <is>
          <t>11/10/2026</t>
        </is>
      </c>
      <c r="K15" s="2" t="inlineStr">
        <is>
          <t>docs</t>
        </is>
      </c>
      <c r="L15" s="2" t="inlineStr">
        <is>
          <t>ANGI-27</t>
        </is>
      </c>
      <c r="M15" s="2" t="inlineStr"/>
      <c r="N15" s="2" t="n">
        <v>63</v>
      </c>
      <c r="O15" s="2" t="inlineStr">
        <is>
          <t>Medium</t>
        </is>
      </c>
    </row>
    <row r="16">
      <c r="A16" s="2" t="inlineStr">
        <is>
          <t>T138</t>
        </is>
      </c>
      <c r="B16" s="2" t="inlineStr">
        <is>
          <t>Task</t>
        </is>
      </c>
      <c r="C16" s="2" t="inlineStr">
        <is>
          <t>Khung FastAPI reco service: kết nối schema recommendation, migration, X-Api-Key, /health</t>
        </is>
      </c>
      <c r="D16" s="2" t="inlineStr">
        <is>
          <t>Bảng theo sheet Recommendation của ANGI_Data_Dictionary_Ver1.1; endpoint theo sheet Reco API (nội bộ) của ANGI_API_Design_Ver1.7. Migration của reco là nơi duy nhất tạo bảng recommendation và bật extension vector.</t>
        </is>
      </c>
      <c r="E16" s="2" t="inlineStr">
        <is>
          <t>Dũng</t>
        </is>
      </c>
      <c r="F16" s="2" t="inlineStr">
        <is>
          <t>ANGI Sprint 0</t>
        </is>
      </c>
      <c r="G16" s="2" t="inlineStr">
        <is>
          <t>EP-SETUP</t>
        </is>
      </c>
      <c r="H16" s="2" t="n">
        <v>3</v>
      </c>
      <c r="I16" s="2" t="inlineStr">
        <is>
          <t>10/10/2026</t>
        </is>
      </c>
      <c r="J16" s="2" t="inlineStr">
        <is>
          <t>11/10/2026</t>
        </is>
      </c>
      <c r="K16" s="2" t="inlineStr">
        <is>
          <t>reco</t>
        </is>
      </c>
      <c r="L16" s="2" t="inlineStr">
        <is>
          <t>ANGI-28</t>
        </is>
      </c>
      <c r="M16" s="2" t="inlineStr"/>
      <c r="N16" s="2" t="n">
        <v>3.1</v>
      </c>
      <c r="O16" s="2" t="inlineStr">
        <is>
          <t>Medium</t>
        </is>
      </c>
    </row>
    <row r="17">
      <c r="A17" s="2" t="inlineStr">
        <is>
          <t>T001</t>
        </is>
      </c>
      <c r="B17" s="2" t="inlineStr">
        <is>
          <t>Task</t>
        </is>
      </c>
      <c r="C17" s="2" t="inlineStr">
        <is>
          <t>[BE] F-01 Register Account</t>
        </is>
      </c>
      <c r="D17" s="2" t="inlineStr">
        <is>
          <t>Use case F-01 Register Account (Actor: Guest). Allows a guest to create a new ANGI account by providing the required registration information. The system validates the information and checks its uniqueness, creates the account in the appropriate status, and requires email verification before the account can use features that need authentication.
Endpoint cần làm:
- AUTH-01 POST /api/v1/auth/register
Ghi chú: Gửi mail xác minh qua email service (task Brevo của EP-SETUP). Đăng ký là Traveler hoặc Restaurant Owner, mỗi tài khoản 1 role.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7" s="2" t="inlineStr">
        <is>
          <t>Hưng</t>
        </is>
      </c>
      <c r="F17" s="2" t="inlineStr">
        <is>
          <t>ANGI Sprint 1</t>
        </is>
      </c>
      <c r="G17" s="2" t="inlineStr">
        <is>
          <t>EP-AUTH</t>
        </is>
      </c>
      <c r="H17" s="2" t="n">
        <v>3</v>
      </c>
      <c r="I17" s="2" t="inlineStr">
        <is>
          <t>12/10/2026</t>
        </is>
      </c>
      <c r="J17" s="2" t="inlineStr">
        <is>
          <t>12/10/2026</t>
        </is>
      </c>
      <c r="K17" s="2" t="inlineStr">
        <is>
          <t>backend iteration1</t>
        </is>
      </c>
      <c r="L17" s="2" t="inlineStr">
        <is>
          <t>ANGI-29</t>
        </is>
      </c>
      <c r="M17" s="2" t="inlineStr"/>
      <c r="N17" s="2" t="n">
        <v>7.3</v>
      </c>
      <c r="O17" s="2" t="inlineStr">
        <is>
          <t>Medium</t>
        </is>
      </c>
    </row>
    <row r="18">
      <c r="A18" s="2" t="inlineStr">
        <is>
          <t>T002</t>
        </is>
      </c>
      <c r="B18" s="2" t="inlineStr">
        <is>
          <t>Task</t>
        </is>
      </c>
      <c r="C18" s="2" t="inlineStr">
        <is>
          <t>[FE] F-01 Register Account</t>
        </is>
      </c>
      <c r="D18" s="2" t="inlineStr">
        <is>
          <t>Use case F-01 Register Account (Actor: Guest). Allows a guest to create a new ANGI account by providing the required registration information. The system validates the information and checks its uniqueness, creates the account in the appropriate status, and requires email verification before the account can use features that need authentication.
Endpoint cần gọi:
- AUTH-01 POST /api/v1/auth/register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8" s="2" t="inlineStr">
        <is>
          <t>Đức</t>
        </is>
      </c>
      <c r="F18" s="2" t="inlineStr">
        <is>
          <t>ANGI Sprint 1</t>
        </is>
      </c>
      <c r="G18" s="2" t="inlineStr">
        <is>
          <t>EP-AUTH</t>
        </is>
      </c>
      <c r="H18" s="2" t="n">
        <v>2</v>
      </c>
      <c r="I18" s="2" t="inlineStr">
        <is>
          <t>12/10/2026</t>
        </is>
      </c>
      <c r="J18" s="2" t="inlineStr">
        <is>
          <t>12/10/2026</t>
        </is>
      </c>
      <c r="K18" s="2" t="inlineStr">
        <is>
          <t>frontend iteration1</t>
        </is>
      </c>
      <c r="L18" s="2" t="inlineStr">
        <is>
          <t>ANGI-30</t>
        </is>
      </c>
      <c r="M18" s="2" t="inlineStr"/>
      <c r="N18" s="2" t="n">
        <v>9.4</v>
      </c>
      <c r="O18" s="2" t="inlineStr">
        <is>
          <t>Medium</t>
        </is>
      </c>
    </row>
    <row r="19">
      <c r="A19" s="2" t="inlineStr">
        <is>
          <t>T029</t>
        </is>
      </c>
      <c r="B19" s="2" t="inlineStr">
        <is>
          <t>Task</t>
        </is>
      </c>
      <c r="C19" s="2" t="inlineStr">
        <is>
          <t>[BE] F-15 Browse Restaurant</t>
        </is>
      </c>
      <c r="D19" s="2" t="inlineStr">
        <is>
          <t>Use case F-15 Browse Restaurant (Actor: Guest, Traveler). Allows a Guest or Traveler to browse the list of restaurants on ANGI. Users can explore restaurants based on the information provided by the system and the supported search/filter criteria.
Endpoint cần làm:
- REST-01 GET /api/v1/restaurants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9" s="2" t="inlineStr">
        <is>
          <t>Trọng</t>
        </is>
      </c>
      <c r="F19" s="2" t="inlineStr">
        <is>
          <t>ANGI Sprint 1</t>
        </is>
      </c>
      <c r="G19" s="2" t="inlineStr">
        <is>
          <t>EP-DISC</t>
        </is>
      </c>
      <c r="H19" s="2" t="n">
        <v>3</v>
      </c>
      <c r="I19" s="2" t="inlineStr">
        <is>
          <t>12/10/2026</t>
        </is>
      </c>
      <c r="J19" s="2" t="inlineStr">
        <is>
          <t>12/10/2026</t>
        </is>
      </c>
      <c r="K19" s="2" t="inlineStr">
        <is>
          <t>backend iteration1</t>
        </is>
      </c>
      <c r="L19" s="2" t="inlineStr">
        <is>
          <t>ANGI-31</t>
        </is>
      </c>
      <c r="M19" s="2" t="inlineStr"/>
      <c r="N19" s="2" t="n">
        <v>7.2</v>
      </c>
      <c r="O19" s="2" t="inlineStr">
        <is>
          <t>Medium</t>
        </is>
      </c>
    </row>
    <row r="20">
      <c r="A20" s="2" t="inlineStr">
        <is>
          <t>T146</t>
        </is>
      </c>
      <c r="B20" s="2" t="inlineStr">
        <is>
          <t>Task</t>
        </is>
      </c>
      <c r="C20" s="2" t="inlineStr">
        <is>
          <t>Reco client trong backend .NET (IRecommendationService)</t>
        </is>
      </c>
      <c r="D20" s="2" t="inlineStr">
        <is>
          <t>Typed HttpClient gọi RECO-03, RECO-05, RECO-06, RECO-09 với X-Api-Key; timeout 800 ms và fallback xếp theo rating quán (project_architecture.md mục 2). | Làm sau: Khung FastAPI reco service: kết nối schema recommendation, migration, X-Api-Key, /health.</t>
        </is>
      </c>
      <c r="E20" s="2" t="inlineStr">
        <is>
          <t>Dũng</t>
        </is>
      </c>
      <c r="F20" s="2" t="inlineStr">
        <is>
          <t>ANGI Sprint 1</t>
        </is>
      </c>
      <c r="G20" s="2" t="inlineStr">
        <is>
          <t>EP-RECO</t>
        </is>
      </c>
      <c r="H20" s="2" t="n">
        <v>2</v>
      </c>
      <c r="I20" s="2" t="inlineStr">
        <is>
          <t>12/10/2026</t>
        </is>
      </c>
      <c r="J20" s="2" t="inlineStr">
        <is>
          <t>12/10/2026</t>
        </is>
      </c>
      <c r="K20" s="2" t="inlineStr">
        <is>
          <t>reco</t>
        </is>
      </c>
      <c r="L20" s="2" t="inlineStr">
        <is>
          <t>ANGI-32</t>
        </is>
      </c>
      <c r="M20" s="2" t="inlineStr"/>
      <c r="N20" s="2" t="n">
        <v>5.7</v>
      </c>
      <c r="O20" s="2" t="inlineStr">
        <is>
          <t>Medium</t>
        </is>
      </c>
    </row>
    <row r="21">
      <c r="A21" s="2" t="inlineStr">
        <is>
          <t>T005</t>
        </is>
      </c>
      <c r="B21" s="2" t="inlineStr">
        <is>
          <t>Task</t>
        </is>
      </c>
      <c r="C21" s="2" t="inlineStr">
        <is>
          <t>[BE] F-03 Login</t>
        </is>
      </c>
      <c r="D21" s="2" t="inlineStr">
        <is>
          <t>Use case F-03 Login (Actor: Guest). Allows a registered user to log in to the system with their account credentials. The system authenticates the credentials, checks the account status, and creates a login session if the information is valid.
Endpoint cần làm:
- AUTH-04 POST /api/v1/auth/login
- AUTH-06 POST /api/v1/auth/refresh
- AUTH-07 POST /api/v1/auth/logout
Ghi chú: Access token 15 phút + refresh token 30 ngày xoay vòng (user_sessions). Khóa 15 phút sau 5 lần sai. Trả needsPreferenceSurvey theo RECO-09.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21" s="2" t="inlineStr">
        <is>
          <t>Hưng</t>
        </is>
      </c>
      <c r="F21" s="2" t="inlineStr">
        <is>
          <t>ANGI Sprint 1</t>
        </is>
      </c>
      <c r="G21" s="2" t="inlineStr">
        <is>
          <t>EP-AUTH</t>
        </is>
      </c>
      <c r="H21" s="2" t="n">
        <v>3</v>
      </c>
      <c r="I21" s="2" t="inlineStr">
        <is>
          <t>12/10/2026</t>
        </is>
      </c>
      <c r="J21" s="2" t="inlineStr">
        <is>
          <t>13/10/2026</t>
        </is>
      </c>
      <c r="K21" s="2" t="inlineStr">
        <is>
          <t>backend iteration1</t>
        </is>
      </c>
      <c r="L21" s="2" t="inlineStr">
        <is>
          <t>ANGI-33</t>
        </is>
      </c>
      <c r="M21" s="2" t="inlineStr"/>
      <c r="N21" s="2" t="n">
        <v>6.1</v>
      </c>
      <c r="O21" s="2" t="inlineStr">
        <is>
          <t>Medium</t>
        </is>
      </c>
    </row>
    <row r="22">
      <c r="A22" s="2" t="inlineStr">
        <is>
          <t>T006</t>
        </is>
      </c>
      <c r="B22" s="2" t="inlineStr">
        <is>
          <t>Task</t>
        </is>
      </c>
      <c r="C22" s="2" t="inlineStr">
        <is>
          <t>[FE] F-03 Login</t>
        </is>
      </c>
      <c r="D22" s="2" t="inlineStr">
        <is>
          <t>Use case F-03 Login (Actor: Guest). Allows a registered user to log in to the system with their account credentials. The system authenticates the credentials, checks the account status, and creates a login session if the information is valid.
Endpoint cần gọi:
- AUTH-04 POST /api/v1/auth/login
- AUTH-06 POST /api/v1/auth/refresh
- AUTH-07 POST /api/v1/auth/logout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22" s="2" t="inlineStr">
        <is>
          <t>Đức</t>
        </is>
      </c>
      <c r="F22" s="2" t="inlineStr">
        <is>
          <t>ANGI Sprint 1</t>
        </is>
      </c>
      <c r="G22" s="2" t="inlineStr">
        <is>
          <t>EP-AUTH</t>
        </is>
      </c>
      <c r="H22" s="2" t="n">
        <v>2</v>
      </c>
      <c r="I22" s="2" t="inlineStr">
        <is>
          <t>12/10/2026</t>
        </is>
      </c>
      <c r="J22" s="2" t="inlineStr">
        <is>
          <t>13/10/2026</t>
        </is>
      </c>
      <c r="K22" s="2" t="inlineStr">
        <is>
          <t>frontend iteration1</t>
        </is>
      </c>
      <c r="L22" s="2" t="inlineStr">
        <is>
          <t>ANGI-34</t>
        </is>
      </c>
      <c r="M22" s="2" t="inlineStr"/>
      <c r="N22" s="2" t="n">
        <v>8.699999999999999</v>
      </c>
      <c r="O22" s="2" t="inlineStr">
        <is>
          <t>Medium</t>
        </is>
      </c>
    </row>
    <row r="23">
      <c r="A23" s="2" t="inlineStr">
        <is>
          <t>T031</t>
        </is>
      </c>
      <c r="B23" s="2" t="inlineStr">
        <is>
          <t>Task</t>
        </is>
      </c>
      <c r="C23" s="2" t="inlineStr">
        <is>
          <t>[BE] F-16 View Restaurant Detail</t>
        </is>
      </c>
      <c r="D23" s="2" t="inlineStr">
        <is>
          <t>Use case F-16 View Restaurant Detail (Actor: Guest, Traveler). Allows a Guest or Traveler to view the details of a restaurant, including basic information, address, location, opening hours, menu, rating, and other related information.
Endpoint cần làm:
- REST-02 GET /api/v1/restaurants/{restaurantId}
- REST-03 GET /api/v1/restaurants/{restaurantId}/menu
- REST-04 GET /api/v1/restaurants/{restaurantId}/reviews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23" s="2" t="inlineStr">
        <is>
          <t>Trọng</t>
        </is>
      </c>
      <c r="F23" s="2" t="inlineStr">
        <is>
          <t>ANGI Sprint 1</t>
        </is>
      </c>
      <c r="G23" s="2" t="inlineStr">
        <is>
          <t>EP-DISC</t>
        </is>
      </c>
      <c r="H23" s="2" t="n">
        <v>2</v>
      </c>
      <c r="I23" s="2" t="inlineStr">
        <is>
          <t>12/10/2026</t>
        </is>
      </c>
      <c r="J23" s="2" t="inlineStr">
        <is>
          <t>13/10/2026</t>
        </is>
      </c>
      <c r="K23" s="2" t="inlineStr">
        <is>
          <t>backend iteration1</t>
        </is>
      </c>
      <c r="L23" s="2" t="inlineStr">
        <is>
          <t>ANGI-35</t>
        </is>
      </c>
      <c r="M23" s="2" t="inlineStr"/>
      <c r="N23" s="2" t="n">
        <v>6.7</v>
      </c>
      <c r="O23" s="2" t="inlineStr">
        <is>
          <t>Medium</t>
        </is>
      </c>
    </row>
    <row r="24">
      <c r="A24" s="2" t="inlineStr">
        <is>
          <t>T086</t>
        </is>
      </c>
      <c r="B24" s="2" t="inlineStr">
        <is>
          <t>Task</t>
        </is>
      </c>
      <c r="C24" s="2" t="inlineStr">
        <is>
          <t>[FE] F-43 Register Restaurant</t>
        </is>
      </c>
      <c r="D24" s="2" t="inlineStr">
        <is>
          <t>Use case F-43 Register Restaurant (Actor: Restaurant Owner). Allows a Restaurant Owner to register a restaurant on ANGI by providing the required information about the business and its location. The system creates the restaurant record and puts it in the appropriate status to continue the verification process.
Endpoint cần gọi:
- OWN-01 POST /api/v1/owner/restaurant
- MEDIA-01 POST /api/v1/media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24" s="2" t="inlineStr">
        <is>
          <t>Tuấn</t>
        </is>
      </c>
      <c r="F24" s="2" t="inlineStr">
        <is>
          <t>ANGI Sprint 1</t>
        </is>
      </c>
      <c r="G24" s="2" t="inlineStr">
        <is>
          <t>EP-REST</t>
        </is>
      </c>
      <c r="H24" s="2" t="n">
        <v>3</v>
      </c>
      <c r="I24" s="2" t="inlineStr">
        <is>
          <t>12/10/2026</t>
        </is>
      </c>
      <c r="J24" s="2" t="inlineStr">
        <is>
          <t>13/10/2026</t>
        </is>
      </c>
      <c r="K24" s="2" t="inlineStr">
        <is>
          <t>frontend iteration1</t>
        </is>
      </c>
      <c r="L24" s="2" t="inlineStr">
        <is>
          <t>ANGI-36</t>
        </is>
      </c>
      <c r="M24" s="2" t="inlineStr"/>
      <c r="N24" s="2" t="n">
        <v>8.9</v>
      </c>
      <c r="O24" s="2" t="inlineStr">
        <is>
          <t>Medium</t>
        </is>
      </c>
    </row>
    <row r="25">
      <c r="A25" s="2" t="inlineStr">
        <is>
          <t>T147</t>
        </is>
      </c>
      <c r="B25" s="2" t="inlineStr">
        <is>
          <t>Task</t>
        </is>
      </c>
      <c r="C25" s="2" t="inlineStr">
        <is>
          <t>Reco P1: Chuẩn hóa dữ liệu + ontology 12 chiều</t>
        </is>
      </c>
      <c r="D25" s="2" t="inlineStr">
        <is>
          <t>Recommendation_System_Design_Ver1.0 mục 2. Deliverable: Ontology.</t>
        </is>
      </c>
      <c r="E25" s="2" t="inlineStr">
        <is>
          <t>Dũng</t>
        </is>
      </c>
      <c r="F25" s="2" t="inlineStr">
        <is>
          <t>ANGI Sprint 1</t>
        </is>
      </c>
      <c r="G25" s="2" t="inlineStr">
        <is>
          <t>EP-RECO</t>
        </is>
      </c>
      <c r="H25" s="2" t="n">
        <v>2</v>
      </c>
      <c r="I25" s="2" t="inlineStr">
        <is>
          <t>12/10/2026</t>
        </is>
      </c>
      <c r="J25" s="2" t="inlineStr">
        <is>
          <t>13/10/2026</t>
        </is>
      </c>
      <c r="K25" s="2" t="inlineStr">
        <is>
          <t>reco</t>
        </is>
      </c>
      <c r="L25" s="2" t="inlineStr">
        <is>
          <t>ANGI-37</t>
        </is>
      </c>
      <c r="M25" s="2" t="inlineStr"/>
      <c r="N25" s="2" t="n">
        <v>2.4</v>
      </c>
      <c r="O25" s="2" t="inlineStr">
        <is>
          <t>Medium</t>
        </is>
      </c>
    </row>
    <row r="26">
      <c r="A26" s="2" t="inlineStr">
        <is>
          <t>T013</t>
        </is>
      </c>
      <c r="B26" s="2" t="inlineStr">
        <is>
          <t>Task</t>
        </is>
      </c>
      <c r="C26" s="2" t="inlineStr">
        <is>
          <t>[BE] F-07 Manage Personal Profile</t>
        </is>
      </c>
      <c r="D26" s="2" t="inlineStr">
        <is>
          <t>Use case F-07 Manage Personal Profile (Actor: Registered User). Allows a Registered User to view and update the editable personal information of their account, such as display name and related profile details. The system validates the input and saves valid changes.
Endpoint cần làm:
- ME-01 GET /api/v1/me
- ME-02 PATCH /api/v1/me
- MEDIA-01 POST /api/v1/media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[BE] F-03 Login.</t>
        </is>
      </c>
      <c r="E26" s="2" t="inlineStr">
        <is>
          <t>Trọng</t>
        </is>
      </c>
      <c r="F26" s="2" t="inlineStr">
        <is>
          <t>ANGI Sprint 1</t>
        </is>
      </c>
      <c r="G26" s="2" t="inlineStr">
        <is>
          <t>EP-AUTH</t>
        </is>
      </c>
      <c r="H26" s="2" t="n">
        <v>2</v>
      </c>
      <c r="I26" s="2" t="inlineStr">
        <is>
          <t>13/10/2026</t>
        </is>
      </c>
      <c r="J26" s="2" t="inlineStr">
        <is>
          <t>13/10/2026</t>
        </is>
      </c>
      <c r="K26" s="2" t="inlineStr">
        <is>
          <t>backend iteration1</t>
        </is>
      </c>
      <c r="L26" s="2" t="inlineStr">
        <is>
          <t>ANGI-38</t>
        </is>
      </c>
      <c r="M26" s="2" t="inlineStr"/>
      <c r="N26" s="2" t="n">
        <v>6.1</v>
      </c>
      <c r="O26" s="2" t="inlineStr">
        <is>
          <t>Medium</t>
        </is>
      </c>
    </row>
    <row r="27">
      <c r="A27" s="2" t="inlineStr">
        <is>
          <t>T085</t>
        </is>
      </c>
      <c r="B27" s="2" t="inlineStr">
        <is>
          <t>Task</t>
        </is>
      </c>
      <c r="C27" s="2" t="inlineStr">
        <is>
          <t>[BE] F-43 Register Restaurant</t>
        </is>
      </c>
      <c r="D27" s="2" t="inlineStr">
        <is>
          <t>Use case F-43 Register Restaurant (Actor: Restaurant Owner). Allows a Restaurant Owner to register a restaurant on ANGI by providing the required information about the business and its location. The system creates the restaurant record and puts it in the appropriate status to continue the verification process.
Endpoint cần làm:
- OWN-01 POST /api/v1/owner/restaurant
- MEDIA-01 POST /api/v1/media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27" s="2" t="inlineStr">
        <is>
          <t>Hưng</t>
        </is>
      </c>
      <c r="F27" s="2" t="inlineStr">
        <is>
          <t>ANGI Sprint 1</t>
        </is>
      </c>
      <c r="G27" s="2" t="inlineStr">
        <is>
          <t>EP-REST</t>
        </is>
      </c>
      <c r="H27" s="2" t="n">
        <v>3</v>
      </c>
      <c r="I27" s="2" t="inlineStr">
        <is>
          <t>13/10/2026</t>
        </is>
      </c>
      <c r="J27" s="2" t="inlineStr">
        <is>
          <t>13/10/2026</t>
        </is>
      </c>
      <c r="K27" s="2" t="inlineStr">
        <is>
          <t>backend iteration1</t>
        </is>
      </c>
      <c r="L27" s="2" t="inlineStr">
        <is>
          <t>ANGI-39</t>
        </is>
      </c>
      <c r="M27" s="2" t="inlineStr"/>
      <c r="N27" s="2" t="n">
        <v>6</v>
      </c>
      <c r="O27" s="2" t="inlineStr">
        <is>
          <t>Medium</t>
        </is>
      </c>
    </row>
    <row r="28">
      <c r="A28" s="2" t="inlineStr">
        <is>
          <t>T015</t>
        </is>
      </c>
      <c r="B28" s="2" t="inlineStr">
        <is>
          <t>Task</t>
        </is>
      </c>
      <c r="C28" s="2" t="inlineStr">
        <is>
          <t>[BE] F-08 Change Password</t>
        </is>
      </c>
      <c r="D28" s="2" t="inlineStr">
        <is>
          <t>Use case F-08 Change Password (Actor: Registered User). Allows a logged-in Registered User to change their current password. The system requires the current password, validates the new password, and updates it if all conditions are met.
Endpoint cần làm:
- ME-03 PUT /api/v1/me/password
Ghi chú: Đổi mật khẩu xong thì thu hồi các phiên khác.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[BE] F-03 Login.</t>
        </is>
      </c>
      <c r="E28" s="2" t="inlineStr">
        <is>
          <t>Trọng</t>
        </is>
      </c>
      <c r="F28" s="2" t="inlineStr">
        <is>
          <t>ANGI Sprint 1</t>
        </is>
      </c>
      <c r="G28" s="2" t="inlineStr">
        <is>
          <t>EP-AUTH</t>
        </is>
      </c>
      <c r="H28" s="2" t="n">
        <v>1</v>
      </c>
      <c r="I28" s="2" t="inlineStr">
        <is>
          <t>13/10/2026</t>
        </is>
      </c>
      <c r="J28" s="2" t="inlineStr">
        <is>
          <t>14/10/2026</t>
        </is>
      </c>
      <c r="K28" s="2" t="inlineStr">
        <is>
          <t>backend iteration1</t>
        </is>
      </c>
      <c r="L28" s="2" t="inlineStr">
        <is>
          <t>ANGI-40</t>
        </is>
      </c>
      <c r="M28" s="2" t="inlineStr"/>
      <c r="N28" s="2" t="n">
        <v>5.8</v>
      </c>
      <c r="O28" s="2" t="inlineStr">
        <is>
          <t>Medium</t>
        </is>
      </c>
    </row>
    <row r="29">
      <c r="A29" s="2" t="inlineStr">
        <is>
          <t>T030</t>
        </is>
      </c>
      <c r="B29" s="2" t="inlineStr">
        <is>
          <t>Task</t>
        </is>
      </c>
      <c r="C29" s="2" t="inlineStr">
        <is>
          <t>[FE] F-15 Browse Restaurant</t>
        </is>
      </c>
      <c r="D29" s="2" t="inlineStr">
        <is>
          <t>Use case F-15 Browse Restaurant (Actor: Guest, Traveler). Allows a Guest or Traveler to browse the list of restaurants on ANGI. Users can explore restaurants based on the information provided by the system and the supported search/filter criteria.
Endpoint cần gọi:
- REST-01 GET /api/v1/restaurants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29" s="2" t="inlineStr">
        <is>
          <t>Đức</t>
        </is>
      </c>
      <c r="F29" s="2" t="inlineStr">
        <is>
          <t>ANGI Sprint 1</t>
        </is>
      </c>
      <c r="G29" s="2" t="inlineStr">
        <is>
          <t>EP-DISC</t>
        </is>
      </c>
      <c r="H29" s="2" t="n">
        <v>3</v>
      </c>
      <c r="I29" s="2" t="inlineStr">
        <is>
          <t>13/10/2026</t>
        </is>
      </c>
      <c r="J29" s="2" t="inlineStr">
        <is>
          <t>14/10/2026</t>
        </is>
      </c>
      <c r="K29" s="2" t="inlineStr">
        <is>
          <t>frontend iteration1</t>
        </is>
      </c>
      <c r="L29" s="2" t="inlineStr">
        <is>
          <t>ANGI-41</t>
        </is>
      </c>
      <c r="M29" s="2" t="inlineStr"/>
      <c r="N29" s="2" t="n">
        <v>7.8</v>
      </c>
      <c r="O29" s="2" t="inlineStr">
        <is>
          <t>Medium</t>
        </is>
      </c>
    </row>
    <row r="30">
      <c r="A30" s="2" t="inlineStr">
        <is>
          <t>T087</t>
        </is>
      </c>
      <c r="B30" s="2" t="inlineStr">
        <is>
          <t>Task</t>
        </is>
      </c>
      <c r="C30" s="2" t="inlineStr">
        <is>
          <t>[BE] F-44 Manage Restaurant Profile</t>
        </is>
      </c>
      <c r="D30" s="2" t="inlineStr">
        <is>
          <t>Use case F-44 Manage Restaurant Profile (Actor: Restaurant Owner). Allows a Restaurant Owner to view and update the restaurant profile, such as name, address, description, and other editable business information. The system validates the data and saves valid changes.
Endpoint cần làm:
- OWN-02 GET /api/v1/owner/restaurant
- OWN-03 PATCH /api/v1/owner/restaurant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30" s="2" t="inlineStr">
        <is>
          <t>Hưng</t>
        </is>
      </c>
      <c r="F30" s="2" t="inlineStr">
        <is>
          <t>ANGI Sprint 1</t>
        </is>
      </c>
      <c r="G30" s="2" t="inlineStr">
        <is>
          <t>EP-REST</t>
        </is>
      </c>
      <c r="H30" s="2" t="n">
        <v>3</v>
      </c>
      <c r="I30" s="2" t="inlineStr">
        <is>
          <t>13/10/2026</t>
        </is>
      </c>
      <c r="J30" s="2" t="inlineStr">
        <is>
          <t>14/10/2026</t>
        </is>
      </c>
      <c r="K30" s="2" t="inlineStr">
        <is>
          <t>backend iteration1</t>
        </is>
      </c>
      <c r="L30" s="2" t="inlineStr">
        <is>
          <t>ANGI-42</t>
        </is>
      </c>
      <c r="M30" s="2" t="inlineStr"/>
      <c r="N30" s="2" t="n">
        <v>5.4</v>
      </c>
      <c r="O30" s="2" t="inlineStr">
        <is>
          <t>Medium</t>
        </is>
      </c>
    </row>
    <row r="31">
      <c r="A31" s="2" t="inlineStr">
        <is>
          <t>T088</t>
        </is>
      </c>
      <c r="B31" s="2" t="inlineStr">
        <is>
          <t>Task</t>
        </is>
      </c>
      <c r="C31" s="2" t="inlineStr">
        <is>
          <t>[FE] F-44 Manage Restaurant Profile</t>
        </is>
      </c>
      <c r="D31" s="2" t="inlineStr">
        <is>
          <t>Use case F-44 Manage Restaurant Profile (Actor: Restaurant Owner). Allows a Restaurant Owner to view and update the restaurant profile, such as name, address, description, and other editable business information. The system validates the data and saves valid changes.
Endpoint cần gọi:
- OWN-02 GET /api/v1/owner/restaurant
- OWN-03 PATCH /api/v1/owner/restaurant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31" s="2" t="inlineStr">
        <is>
          <t>Tuấn</t>
        </is>
      </c>
      <c r="F31" s="2" t="inlineStr">
        <is>
          <t>ANGI Sprint 1</t>
        </is>
      </c>
      <c r="G31" s="2" t="inlineStr">
        <is>
          <t>EP-REST</t>
        </is>
      </c>
      <c r="H31" s="2" t="n">
        <v>3</v>
      </c>
      <c r="I31" s="2" t="inlineStr">
        <is>
          <t>13/10/2026</t>
        </is>
      </c>
      <c r="J31" s="2" t="inlineStr">
        <is>
          <t>14/10/2026</t>
        </is>
      </c>
      <c r="K31" s="2" t="inlineStr">
        <is>
          <t>frontend iteration1</t>
        </is>
      </c>
      <c r="L31" s="2" t="inlineStr">
        <is>
          <t>ANGI-43</t>
        </is>
      </c>
      <c r="M31" s="2" t="inlineStr"/>
      <c r="N31" s="2" t="n">
        <v>7.8</v>
      </c>
      <c r="O31" s="2" t="inlineStr">
        <is>
          <t>Medium</t>
        </is>
      </c>
    </row>
    <row r="32">
      <c r="A32" s="2" t="inlineStr">
        <is>
          <t>T149</t>
        </is>
      </c>
      <c r="B32" s="2" t="inlineStr">
        <is>
          <t>Task</t>
        </is>
      </c>
      <c r="C32" s="2" t="inlineStr">
        <is>
          <t>Reco P1: User vector từ khảo sát (RECO-03, RECO-09)</t>
        </is>
      </c>
      <c r="D32" s="2" t="inlineStr">
        <is>
          <t>Recommendation_System_Design_Ver1.0 mục 3.2. Deliverable: User Vector. | Làm sau: Reco P1: Chuẩn hóa dữ liệu + ontology 12 chiều.</t>
        </is>
      </c>
      <c r="E32" s="2" t="inlineStr">
        <is>
          <t>Dũng</t>
        </is>
      </c>
      <c r="F32" s="2" t="inlineStr">
        <is>
          <t>ANGI Sprint 1</t>
        </is>
      </c>
      <c r="G32" s="2" t="inlineStr">
        <is>
          <t>EP-RECO</t>
        </is>
      </c>
      <c r="H32" s="2" t="n">
        <v>3</v>
      </c>
      <c r="I32" s="2" t="inlineStr">
        <is>
          <t>13/10/2026</t>
        </is>
      </c>
      <c r="J32" s="2" t="inlineStr">
        <is>
          <t>14/10/2026</t>
        </is>
      </c>
      <c r="K32" s="2" t="inlineStr">
        <is>
          <t>reco</t>
        </is>
      </c>
      <c r="L32" s="2" t="inlineStr">
        <is>
          <t>ANGI-44</t>
        </is>
      </c>
      <c r="M32" s="2" t="inlineStr"/>
      <c r="N32" s="2" t="n">
        <v>2.4</v>
      </c>
      <c r="O32" s="2" t="inlineStr">
        <is>
          <t>Medium</t>
        </is>
      </c>
    </row>
    <row r="33">
      <c r="A33" s="2" t="inlineStr">
        <is>
          <t>T160</t>
        </is>
      </c>
      <c r="B33" s="2" t="inlineStr">
        <is>
          <t>Task</t>
        </is>
      </c>
      <c r="C33" s="2" t="inlineStr">
        <is>
          <t>Report 4: SDS v1.1</t>
        </is>
      </c>
      <c r="D33" s="2" t="inlineStr">
        <is>
          <t>Cả team cùng viết, mỗi người viết phần module/feature mình làm. Dũng tổng hợp và duyệt cuối.</t>
        </is>
      </c>
      <c r="E33" s="2" t="inlineStr">
        <is>
          <t>Dũng</t>
        </is>
      </c>
      <c r="F33" s="2" t="inlineStr">
        <is>
          <t>ANGI Sprint 1</t>
        </is>
      </c>
      <c r="G33" s="2" t="inlineStr">
        <is>
          <t>EP-DOC</t>
        </is>
      </c>
      <c r="H33" s="2" t="n">
        <v>2</v>
      </c>
      <c r="I33" s="2" t="inlineStr">
        <is>
          <t>13/10/2026</t>
        </is>
      </c>
      <c r="J33" s="2" t="inlineStr">
        <is>
          <t>14/10/2026</t>
        </is>
      </c>
      <c r="K33" s="2" t="inlineStr">
        <is>
          <t>docs</t>
        </is>
      </c>
      <c r="L33" s="2" t="inlineStr">
        <is>
          <t>ANGI-45</t>
        </is>
      </c>
      <c r="M33" s="2" t="inlineStr"/>
      <c r="N33" s="2" t="n">
        <v>60</v>
      </c>
      <c r="O33" s="2" t="inlineStr">
        <is>
          <t>Medium</t>
        </is>
      </c>
    </row>
    <row r="34">
      <c r="A34" s="2" t="inlineStr">
        <is>
          <t>T032</t>
        </is>
      </c>
      <c r="B34" s="2" t="inlineStr">
        <is>
          <t>Task</t>
        </is>
      </c>
      <c r="C34" s="2" t="inlineStr">
        <is>
          <t>[FE] F-16 View Restaurant Detail</t>
        </is>
      </c>
      <c r="D34" s="2" t="inlineStr">
        <is>
          <t>Use case F-16 View Restaurant Detail (Actor: Guest, Traveler). Allows a Guest or Traveler to view the details of a restaurant, including basic information, address, location, opening hours, menu, rating, and other related information.
Endpoint cần gọi:
- REST-02 GET /api/v1/restaurants/{restaurantId}
- REST-03 GET /api/v1/restaurants/{restaurantId}/menu
- REST-04 GET /api/v1/restaurants/{restaurantId}/reviews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34" s="2" t="inlineStr">
        <is>
          <t>Đức</t>
        </is>
      </c>
      <c r="F34" s="2" t="inlineStr">
        <is>
          <t>ANGI Sprint 1</t>
        </is>
      </c>
      <c r="G34" s="2" t="inlineStr">
        <is>
          <t>EP-DISC</t>
        </is>
      </c>
      <c r="H34" s="2" t="n">
        <v>2</v>
      </c>
      <c r="I34" s="2" t="inlineStr">
        <is>
          <t>14/10/2026</t>
        </is>
      </c>
      <c r="J34" s="2" t="inlineStr">
        <is>
          <t>14/10/2026</t>
        </is>
      </c>
      <c r="K34" s="2" t="inlineStr">
        <is>
          <t>frontend iteration1</t>
        </is>
      </c>
      <c r="L34" s="2" t="inlineStr">
        <is>
          <t>ANGI-46</t>
        </is>
      </c>
      <c r="M34" s="2" t="inlineStr"/>
      <c r="N34" s="2" t="n">
        <v>7.1</v>
      </c>
      <c r="O34" s="2" t="inlineStr">
        <is>
          <t>Medium</t>
        </is>
      </c>
    </row>
    <row r="35">
      <c r="A35" s="2" t="inlineStr">
        <is>
          <t>T089</t>
        </is>
      </c>
      <c r="B35" s="2" t="inlineStr">
        <is>
          <t>Task</t>
        </is>
      </c>
      <c r="C35" s="2" t="inlineStr">
        <is>
          <t>[BE] F-45 Update Business Hour</t>
        </is>
      </c>
      <c r="D35" s="2" t="inlineStr">
        <is>
          <t>Use case F-45 Update Business Hour (Actor: Restaurant Owner). Allows a Restaurant Owner to update the restaurant's opening hours. The system validates the times and saves the new schedule to display to users.
Endpoint cần làm:
- OWN-04 PUT /api/v1/owner/restaurant/business-hours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35" s="2" t="inlineStr">
        <is>
          <t>Trọng</t>
        </is>
      </c>
      <c r="F35" s="2" t="inlineStr">
        <is>
          <t>ANGI Sprint 1</t>
        </is>
      </c>
      <c r="G35" s="2" t="inlineStr">
        <is>
          <t>EP-REST</t>
        </is>
      </c>
      <c r="H35" s="2" t="n">
        <v>2</v>
      </c>
      <c r="I35" s="2" t="inlineStr">
        <is>
          <t>14/10/2026</t>
        </is>
      </c>
      <c r="J35" s="2" t="inlineStr">
        <is>
          <t>14/10/2026</t>
        </is>
      </c>
      <c r="K35" s="2" t="inlineStr">
        <is>
          <t>backend iteration1</t>
        </is>
      </c>
      <c r="L35" s="2" t="inlineStr">
        <is>
          <t>ANGI-47</t>
        </is>
      </c>
      <c r="M35" s="2" t="inlineStr"/>
      <c r="N35" s="2" t="n">
        <v>5.3</v>
      </c>
      <c r="O35" s="2" t="inlineStr">
        <is>
          <t>Medium</t>
        </is>
      </c>
    </row>
    <row r="36">
      <c r="A36" s="2" t="inlineStr">
        <is>
          <t>T090</t>
        </is>
      </c>
      <c r="B36" s="2" t="inlineStr">
        <is>
          <t>Task</t>
        </is>
      </c>
      <c r="C36" s="2" t="inlineStr">
        <is>
          <t>[FE] F-45 Update Business Hour</t>
        </is>
      </c>
      <c r="D36" s="2" t="inlineStr">
        <is>
          <t>Use case F-45 Update Business Hour (Actor: Restaurant Owner). Allows a Restaurant Owner to update the restaurant's opening hours. The system validates the times and saves the new schedule to display to users.
Endpoint cần gọi:
- OWN-04 PUT /api/v1/owner/restaurant/business-hours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36" s="2" t="inlineStr">
        <is>
          <t>Tuấn</t>
        </is>
      </c>
      <c r="F36" s="2" t="inlineStr">
        <is>
          <t>ANGI Sprint 1</t>
        </is>
      </c>
      <c r="G36" s="2" t="inlineStr">
        <is>
          <t>EP-REST</t>
        </is>
      </c>
      <c r="H36" s="2" t="n">
        <v>2</v>
      </c>
      <c r="I36" s="2" t="inlineStr">
        <is>
          <t>14/10/2026</t>
        </is>
      </c>
      <c r="J36" s="2" t="inlineStr">
        <is>
          <t>14/10/2026</t>
        </is>
      </c>
      <c r="K36" s="2" t="inlineStr">
        <is>
          <t>frontend iteration1</t>
        </is>
      </c>
      <c r="L36" s="2" t="inlineStr">
        <is>
          <t>ANGI-48</t>
        </is>
      </c>
      <c r="M36" s="2" t="inlineStr"/>
      <c r="N36" s="2" t="n">
        <v>7</v>
      </c>
      <c r="O36" s="2" t="inlineStr">
        <is>
          <t>Medium</t>
        </is>
      </c>
    </row>
    <row r="37">
      <c r="A37" s="2" t="inlineStr">
        <is>
          <t>T091</t>
        </is>
      </c>
      <c r="B37" s="2" t="inlineStr">
        <is>
          <t>Task</t>
        </is>
      </c>
      <c r="C37" s="2" t="inlineStr">
        <is>
          <t>[BE] F-46 Update Status</t>
        </is>
      </c>
      <c r="D37" s="2" t="inlineStr">
        <is>
          <t>Use case F-46 Update Status (Actor: Restaurant Owner). Allows a Restaurant Owner to update the restaurant's operating status, such as open or temporarily closed. The system saves the new status and uses it when displaying or providing restaurant information.
Endpoint cần làm:
- OWN-05 PUT /api/v1/owner/restaurant/operating-status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37" s="2" t="inlineStr">
        <is>
          <t>Trọng</t>
        </is>
      </c>
      <c r="F37" s="2" t="inlineStr">
        <is>
          <t>ANGI Sprint 1</t>
        </is>
      </c>
      <c r="G37" s="2" t="inlineStr">
        <is>
          <t>EP-REST</t>
        </is>
      </c>
      <c r="H37" s="2" t="n">
        <v>1</v>
      </c>
      <c r="I37" s="2" t="inlineStr">
        <is>
          <t>14/10/2026</t>
        </is>
      </c>
      <c r="J37" s="2" t="inlineStr">
        <is>
          <t>14/10/2026</t>
        </is>
      </c>
      <c r="K37" s="2" t="inlineStr">
        <is>
          <t>backend iteration1</t>
        </is>
      </c>
      <c r="L37" s="2" t="inlineStr">
        <is>
          <t>ANGI-49</t>
        </is>
      </c>
      <c r="M37" s="2" t="inlineStr"/>
      <c r="N37" s="2" t="n">
        <v>5</v>
      </c>
      <c r="O37" s="2" t="inlineStr">
        <is>
          <t>Medium</t>
        </is>
      </c>
    </row>
    <row r="38">
      <c r="A38" s="3" t="inlineStr">
        <is>
          <t>T148</t>
        </is>
      </c>
      <c r="B38" s="3" t="inlineStr">
        <is>
          <t>Task</t>
        </is>
      </c>
      <c r="C38" s="3" t="inlineStr">
        <is>
          <t>Reco P1: Sinh dish vector (RECO-01 upsert, RECO-02 deactivate)</t>
        </is>
      </c>
      <c r="D38" s="3" t="inlineStr">
        <is>
          <t>[CRITICAL PATH] Task này nằm trên đường găng: dự phòng tối đa 1 ngày. Phải xong đúng Due Date 15/10/2026; trễ 1 ngày thì mốc "Software Package Version 1" (25/10/2026) bị trễ theo.
Ảnh hưởng trực tiếp tới: Reco P1: Cold start (Pooled Wilson) + Content-based, RECO-05 /recommendations, RECO-06 /impressions; Code freeze + tích hợp Iteration 1: merge PR vào dev, chạy toàn hệ thống.
Cần xong trước khi bắt đầu: Reco P1: Chuẩn hóa dữ liệu + ontology 12 chiều.
Gặp vướng thì báo ngay trong ngày cho Dũng (PM), không đợi họp.
Recommendation_System_Design_Ver1.0 mục 2.4. Deliverable: Dish Vector. | Làm sau: Reco P1: Chuẩn hóa dữ liệu + ontology 12 chiều.</t>
        </is>
      </c>
      <c r="E38" s="3" t="inlineStr">
        <is>
          <t>Dũng</t>
        </is>
      </c>
      <c r="F38" s="3" t="inlineStr">
        <is>
          <t>ANGI Sprint 1</t>
        </is>
      </c>
      <c r="G38" s="3" t="inlineStr">
        <is>
          <t>EP-RECO</t>
        </is>
      </c>
      <c r="H38" s="3" t="n">
        <v>3</v>
      </c>
      <c r="I38" s="3" t="inlineStr">
        <is>
          <t>14/10/2026</t>
        </is>
      </c>
      <c r="J38" s="3" t="inlineStr">
        <is>
          <t>15/10/2026</t>
        </is>
      </c>
      <c r="K38" s="3" t="inlineStr">
        <is>
          <t>reco critical-path</t>
        </is>
      </c>
      <c r="L38" s="3" t="inlineStr">
        <is>
          <t>ANGI-50</t>
        </is>
      </c>
      <c r="M38" s="3" t="inlineStr">
        <is>
          <t>Có</t>
        </is>
      </c>
      <c r="N38" s="3" t="n">
        <v>1.4</v>
      </c>
      <c r="O38" s="3" t="inlineStr">
        <is>
          <t>Highest</t>
        </is>
      </c>
    </row>
    <row r="39">
      <c r="A39" s="2" t="inlineStr">
        <is>
          <t>T014</t>
        </is>
      </c>
      <c r="B39" s="2" t="inlineStr">
        <is>
          <t>Task</t>
        </is>
      </c>
      <c r="C39" s="2" t="inlineStr">
        <is>
          <t>[FE] F-07 Manage Personal Profile</t>
        </is>
      </c>
      <c r="D39" s="2" t="inlineStr">
        <is>
          <t>Use case F-07 Manage Personal Profile (Actor: Registered User). Allows a Registered User to view and update the editable personal information of their account, such as display name and related profile details. The system validates the input and saves valid changes.
Endpoint cần gọi:
- ME-01 GET /api/v1/me
- ME-02 PATCH /api/v1/me
- MEDIA-01 POST /api/v1/media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39" s="2" t="inlineStr">
        <is>
          <t>Đức</t>
        </is>
      </c>
      <c r="F39" s="2" t="inlineStr">
        <is>
          <t>ANGI Sprint 1</t>
        </is>
      </c>
      <c r="G39" s="2" t="inlineStr">
        <is>
          <t>EP-AUTH</t>
        </is>
      </c>
      <c r="H39" s="2" t="n">
        <v>2</v>
      </c>
      <c r="I39" s="2" t="inlineStr">
        <is>
          <t>14/10/2026</t>
        </is>
      </c>
      <c r="J39" s="2" t="inlineStr">
        <is>
          <t>15/10/2026</t>
        </is>
      </c>
      <c r="K39" s="2" t="inlineStr">
        <is>
          <t>frontend iteration1</t>
        </is>
      </c>
      <c r="L39" s="2" t="inlineStr">
        <is>
          <t>ANGI-51</t>
        </is>
      </c>
      <c r="M39" s="2" t="inlineStr"/>
      <c r="N39" s="2" t="n">
        <v>6.5</v>
      </c>
      <c r="O39" s="2" t="inlineStr">
        <is>
          <t>Medium</t>
        </is>
      </c>
    </row>
    <row r="40">
      <c r="A40" s="2" t="inlineStr">
        <is>
          <t>T095</t>
        </is>
      </c>
      <c r="B40" s="2" t="inlineStr">
        <is>
          <t>Task</t>
        </is>
      </c>
      <c r="C40" s="2" t="inlineStr">
        <is>
          <t>[BE] F-48 View Verification Status</t>
        </is>
      </c>
      <c r="D40" s="2" t="inlineStr">
        <is>
          <t>Use case F-48 View Verification Status (Actor: Restaurant Owner). Allows a Restaurant Owner to view the current status of the restaurant verification request, such as pending, approved, or rejected, along with any feedback.
Endpoint cần làm:
- OWN-07 GET /api/v1/owner/restaurant/verifications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40" s="2" t="inlineStr">
        <is>
          <t>Trọng</t>
        </is>
      </c>
      <c r="F40" s="2" t="inlineStr">
        <is>
          <t>ANGI Sprint 1</t>
        </is>
      </c>
      <c r="G40" s="2" t="inlineStr">
        <is>
          <t>EP-REST</t>
        </is>
      </c>
      <c r="H40" s="2" t="n">
        <v>1</v>
      </c>
      <c r="I40" s="2" t="inlineStr">
        <is>
          <t>14/10/2026</t>
        </is>
      </c>
      <c r="J40" s="2" t="inlineStr">
        <is>
          <t>15/10/2026</t>
        </is>
      </c>
      <c r="K40" s="2" t="inlineStr">
        <is>
          <t>backend iteration1</t>
        </is>
      </c>
      <c r="L40" s="2" t="inlineStr">
        <is>
          <t>ANGI-52</t>
        </is>
      </c>
      <c r="M40" s="2" t="inlineStr"/>
      <c r="N40" s="2" t="n">
        <v>4.8</v>
      </c>
      <c r="O40" s="2" t="inlineStr">
        <is>
          <t>Medium</t>
        </is>
      </c>
    </row>
    <row r="41">
      <c r="A41" s="2" t="inlineStr">
        <is>
          <t>T099</t>
        </is>
      </c>
      <c r="B41" s="2" t="inlineStr">
        <is>
          <t>Task</t>
        </is>
      </c>
      <c r="C41" s="2" t="inlineStr">
        <is>
          <t>[BE] F-50 Manage Restaurant Menu</t>
        </is>
      </c>
      <c r="D41" s="2" t="inlineStr">
        <is>
          <t>Use case F-50 Manage Restaurant Menu (Actor: Restaurant Owner). Allows a Restaurant Owner to manage the restaurant's menu, including adding, editing, or removing dishes and related information. Changes may need to go through an approval process depending on the status of the restaurant and the menu.
Endpoint cần làm:
- OWN-09 GET /api/v1/owner/restaurant/menu
- OWN-10 PUT /api/v1/owner/restaurant/menu/dishes/{dishId}/availability
- OWN-11 POST /api/v1/owner/restaurant/menu-submissions
- OWN-12 GET /api/v1/owner/restaurant/menu-submissions
- OWN-13 GET /api/v1/owner/restaurant/menu-submissions/{submissionId}
- OWN-14 POST /api/v1/owner/restaurant/menu-submissions/{submissionId}/items
- OWN-15 PATCH /api/v1/owner/restaurant/menu-submissions/{submissionId}/items/{itemId}
- OWN-16 DELETE /api/v1/owner/restaurant/menu-submissions/{submissionId}/items/{itemId}
- OWN-18 POST /api/v1/owner/restaurant/menu-submissions/{submissionId}/cancel
Ghi chú: Sửa menu = soạn bản menu mới (menu_submissions, menu_submission_items); menu đang hiển thị giữ nguyên đến khi Mod duyệt.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41" s="2" t="inlineStr">
        <is>
          <t>Hưng</t>
        </is>
      </c>
      <c r="F41" s="2" t="inlineStr">
        <is>
          <t>ANGI Sprint 1</t>
        </is>
      </c>
      <c r="G41" s="2" t="inlineStr">
        <is>
          <t>EP-REST</t>
        </is>
      </c>
      <c r="H41" s="2" t="n">
        <v>5</v>
      </c>
      <c r="I41" s="2" t="inlineStr">
        <is>
          <t>14/10/2026</t>
        </is>
      </c>
      <c r="J41" s="2" t="inlineStr">
        <is>
          <t>15/10/2026</t>
        </is>
      </c>
      <c r="K41" s="2" t="inlineStr">
        <is>
          <t>backend iteration1</t>
        </is>
      </c>
      <c r="L41" s="2" t="inlineStr">
        <is>
          <t>ANGI-53</t>
        </is>
      </c>
      <c r="M41" s="2" t="inlineStr"/>
      <c r="N41" s="2" t="n">
        <v>4.3</v>
      </c>
      <c r="O41" s="2" t="inlineStr">
        <is>
          <t>High</t>
        </is>
      </c>
    </row>
    <row r="42">
      <c r="A42" s="2" t="inlineStr">
        <is>
          <t>T016</t>
        </is>
      </c>
      <c r="B42" s="2" t="inlineStr">
        <is>
          <t>Task</t>
        </is>
      </c>
      <c r="C42" s="2" t="inlineStr">
        <is>
          <t>[FE] F-08 Change Password</t>
        </is>
      </c>
      <c r="D42" s="2" t="inlineStr">
        <is>
          <t>Use case F-08 Change Password (Actor: Registered User). Allows a logged-in Registered User to change their current password. The system requires the current password, validates the new password, and updates it if all conditions are met.
Endpoint cần gọi:
- ME-03 PUT /api/v1/me/password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42" s="2" t="inlineStr">
        <is>
          <t>Đức</t>
        </is>
      </c>
      <c r="F42" s="2" t="inlineStr">
        <is>
          <t>ANGI Sprint 1</t>
        </is>
      </c>
      <c r="G42" s="2" t="inlineStr">
        <is>
          <t>EP-AUTH</t>
        </is>
      </c>
      <c r="H42" s="2" t="n">
        <v>1</v>
      </c>
      <c r="I42" s="2" t="inlineStr">
        <is>
          <t>15/10/2026</t>
        </is>
      </c>
      <c r="J42" s="2" t="inlineStr">
        <is>
          <t>15/10/2026</t>
        </is>
      </c>
      <c r="K42" s="2" t="inlineStr">
        <is>
          <t>frontend iteration1</t>
        </is>
      </c>
      <c r="L42" s="2" t="inlineStr">
        <is>
          <t>ANGI-54</t>
        </is>
      </c>
      <c r="M42" s="2" t="inlineStr"/>
      <c r="N42" s="2" t="n">
        <v>6.1</v>
      </c>
      <c r="O42" s="2" t="inlineStr">
        <is>
          <t>Medium</t>
        </is>
      </c>
    </row>
    <row r="43">
      <c r="A43" s="2" t="inlineStr">
        <is>
          <t>T092</t>
        </is>
      </c>
      <c r="B43" s="2" t="inlineStr">
        <is>
          <t>Task</t>
        </is>
      </c>
      <c r="C43" s="2" t="inlineStr">
        <is>
          <t>[FE] F-46 Update Status</t>
        </is>
      </c>
      <c r="D43" s="2" t="inlineStr">
        <is>
          <t>Use case F-46 Update Status (Actor: Restaurant Owner). Allows a Restaurant Owner to update the restaurant's operating status, such as open or temporarily closed. The system saves the new status and uses it when displaying or providing restaurant information.
Endpoint cần gọi:
- OWN-05 PUT /api/v1/owner/restaurant/operating-status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43" s="2" t="inlineStr">
        <is>
          <t>Tuấn</t>
        </is>
      </c>
      <c r="F43" s="2" t="inlineStr">
        <is>
          <t>ANGI Sprint 1</t>
        </is>
      </c>
      <c r="G43" s="2" t="inlineStr">
        <is>
          <t>EP-REST</t>
        </is>
      </c>
      <c r="H43" s="2" t="n">
        <v>1</v>
      </c>
      <c r="I43" s="2" t="inlineStr">
        <is>
          <t>15/10/2026</t>
        </is>
      </c>
      <c r="J43" s="2" t="inlineStr">
        <is>
          <t>15/10/2026</t>
        </is>
      </c>
      <c r="K43" s="2" t="inlineStr">
        <is>
          <t>frontend iteration1</t>
        </is>
      </c>
      <c r="L43" s="2" t="inlineStr">
        <is>
          <t>ANGI-55</t>
        </is>
      </c>
      <c r="M43" s="2" t="inlineStr"/>
      <c r="N43" s="2" t="n">
        <v>6.6</v>
      </c>
      <c r="O43" s="2" t="inlineStr">
        <is>
          <t>Medium</t>
        </is>
      </c>
    </row>
    <row r="44">
      <c r="A44" s="2" t="inlineStr">
        <is>
          <t>T097</t>
        </is>
      </c>
      <c r="B44" s="2" t="inlineStr">
        <is>
          <t>Task</t>
        </is>
      </c>
      <c r="C44" s="2" t="inlineStr">
        <is>
          <t>[BE] F-49 Resubmit Verification</t>
        </is>
      </c>
      <c r="D44" s="2" t="inlineStr">
        <is>
          <t>Use case F-49 Resubmit Verification (Actor: Restaurant Owner). Allows a Restaurant Owner to resubmit a verification request after the previous submission was rejected or more information was requested. The system receives the updated data and creates a new submission for review.
Endpoint cần làm:
- OWN-08 POST /api/v1/owner/restaurant/verifications/{verificationId}/resubmit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44" s="2" t="inlineStr">
        <is>
          <t>Trọng</t>
        </is>
      </c>
      <c r="F44" s="2" t="inlineStr">
        <is>
          <t>ANGI Sprint 1</t>
        </is>
      </c>
      <c r="G44" s="2" t="inlineStr">
        <is>
          <t>EP-REST</t>
        </is>
      </c>
      <c r="H44" s="2" t="n">
        <v>2</v>
      </c>
      <c r="I44" s="2" t="inlineStr">
        <is>
          <t>15/10/2026</t>
        </is>
      </c>
      <c r="J44" s="2" t="inlineStr">
        <is>
          <t>15/10/2026</t>
        </is>
      </c>
      <c r="K44" s="2" t="inlineStr">
        <is>
          <t>backend iteration1</t>
        </is>
      </c>
      <c r="L44" s="2" t="inlineStr">
        <is>
          <t>ANGI-56</t>
        </is>
      </c>
      <c r="M44" s="2" t="inlineStr"/>
      <c r="N44" s="2" t="n">
        <v>4.2</v>
      </c>
      <c r="O44" s="2" t="inlineStr">
        <is>
          <t>Medium</t>
        </is>
      </c>
    </row>
    <row r="45">
      <c r="A45" s="3" t="inlineStr">
        <is>
          <t>T150</t>
        </is>
      </c>
      <c r="B45" s="3" t="inlineStr">
        <is>
          <t>Task</t>
        </is>
      </c>
      <c r="C45" s="3" t="inlineStr">
        <is>
          <t>Reco P1: Cold start (Pooled Wilson) + Content-based, RECO-05 /recommendations, RECO-06 /impressions</t>
        </is>
      </c>
      <c r="D45" s="3" t="inlineStr">
        <is>
          <t>[CRITICAL PATH] Task này nằm trên đường găng: dự phòng tối đa 1 ngày. Phải xong đúng Due Date 16/10/2026; trễ 1 ngày thì mốc "Software Package Version 1" (25/10/2026) bị trễ theo.
Ảnh hưởng trực tiếp tới: [BE] F-12 Browse Dish; [BE] F-11 View Home Page; Code freeze + tích hợp Iteration 1: merge PR vào dev, chạy toàn hệ thống.
Cần xong trước khi bắt đầu: Reco P1: Sinh dish vector (RECO-01 upsert, RECO-02 deactivate); Reco P1: User vector từ khảo sát (RECO-03, RECO-09).
Gặp vướng thì báo ngay trong ngày cho Dũng (PM), không đợi họp.
Recommendation_System_Design_Ver1.0 mục 3.3 và 3.6. Deliverable: Recommend for new user. | Làm sau: Reco P1: Sinh dish vector (RECO-01 upsert, RECO-02 deactivate), Reco P1: User vector từ khảo sát (RECO-03, RECO-09).</t>
        </is>
      </c>
      <c r="E45" s="3" t="inlineStr">
        <is>
          <t>Dũng</t>
        </is>
      </c>
      <c r="F45" s="3" t="inlineStr">
        <is>
          <t>ANGI Sprint 1</t>
        </is>
      </c>
      <c r="G45" s="3" t="inlineStr">
        <is>
          <t>EP-RECO</t>
        </is>
      </c>
      <c r="H45" s="3" t="n">
        <v>5</v>
      </c>
      <c r="I45" s="3" t="inlineStr">
        <is>
          <t>15/10/2026</t>
        </is>
      </c>
      <c r="J45" s="3" t="inlineStr">
        <is>
          <t>16/10/2026</t>
        </is>
      </c>
      <c r="K45" s="3" t="inlineStr">
        <is>
          <t>reco critical-path</t>
        </is>
      </c>
      <c r="L45" s="3" t="inlineStr">
        <is>
          <t>ANGI-57</t>
        </is>
      </c>
      <c r="M45" s="3" t="inlineStr">
        <is>
          <t>Có</t>
        </is>
      </c>
      <c r="N45" s="3" t="n">
        <v>1.4</v>
      </c>
      <c r="O45" s="3" t="inlineStr">
        <is>
          <t>Highest</t>
        </is>
      </c>
    </row>
    <row r="46">
      <c r="A46" s="2" t="inlineStr">
        <is>
          <t>T003</t>
        </is>
      </c>
      <c r="B46" s="2" t="inlineStr">
        <is>
          <t>Task</t>
        </is>
      </c>
      <c r="C46" s="2" t="inlineStr">
        <is>
          <t>[BE] F-02 Verify Email</t>
        </is>
      </c>
      <c r="D46" s="2" t="inlineStr">
        <is>
          <t>Use case F-02 Verify Email (Actor: Guest). Allows a user to verify the email address of their account through a verification link or code sent by the system. The system checks the validity and expiry of the verification data, then updates the account's email status when verification succeeds.
Endpoint cần làm:
- AUTH-02 POST /api/v1/auth/verify-email
- AUTH-03 POST /api/v1/auth/verify-email/resend
Ghi chú: Token lưu dạng hash trong user_tokens, dùng 1 lần; resend giới hạn 1 lần / 60 giây.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46" s="2" t="inlineStr">
        <is>
          <t>Hưng</t>
        </is>
      </c>
      <c r="F46" s="2" t="inlineStr">
        <is>
          <t>ANGI Sprint 1</t>
        </is>
      </c>
      <c r="G46" s="2" t="inlineStr">
        <is>
          <t>EP-AUTH</t>
        </is>
      </c>
      <c r="H46" s="2" t="n">
        <v>2</v>
      </c>
      <c r="I46" s="2" t="inlineStr">
        <is>
          <t>15/10/2026</t>
        </is>
      </c>
      <c r="J46" s="2" t="inlineStr">
        <is>
          <t>16/10/2026</t>
        </is>
      </c>
      <c r="K46" s="2" t="inlineStr">
        <is>
          <t>backend iteration1</t>
        </is>
      </c>
      <c r="L46" s="2" t="inlineStr">
        <is>
          <t>ANGI-58</t>
        </is>
      </c>
      <c r="M46" s="2" t="inlineStr"/>
      <c r="N46" s="2" t="n">
        <v>3.8</v>
      </c>
      <c r="O46" s="2" t="inlineStr">
        <is>
          <t>Medium</t>
        </is>
      </c>
    </row>
    <row r="47">
      <c r="A47" s="2" t="inlineStr">
        <is>
          <t>T004</t>
        </is>
      </c>
      <c r="B47" s="2" t="inlineStr">
        <is>
          <t>Task</t>
        </is>
      </c>
      <c r="C47" s="2" t="inlineStr">
        <is>
          <t>[FE] F-02 Verify Email</t>
        </is>
      </c>
      <c r="D47" s="2" t="inlineStr">
        <is>
          <t>Use case F-02 Verify Email (Actor: Guest). Allows a user to verify the email address of their account through a verification link or code sent by the system. The system checks the validity and expiry of the verification data, then updates the account's email status when verification succeeds.
Endpoint cần gọi:
- AUTH-02 POST /api/v1/auth/verify-email
- AUTH-03 POST /api/v1/auth/verify-email/resend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47" s="2" t="inlineStr">
        <is>
          <t>Đức</t>
        </is>
      </c>
      <c r="F47" s="2" t="inlineStr">
        <is>
          <t>ANGI Sprint 1</t>
        </is>
      </c>
      <c r="G47" s="2" t="inlineStr">
        <is>
          <t>EP-AUTH</t>
        </is>
      </c>
      <c r="H47" s="2" t="n">
        <v>1</v>
      </c>
      <c r="I47" s="2" t="inlineStr">
        <is>
          <t>15/10/2026</t>
        </is>
      </c>
      <c r="J47" s="2" t="inlineStr">
        <is>
          <t>16/10/2026</t>
        </is>
      </c>
      <c r="K47" s="2" t="inlineStr">
        <is>
          <t>frontend iteration1</t>
        </is>
      </c>
      <c r="L47" s="2" t="inlineStr">
        <is>
          <t>ANGI-59</t>
        </is>
      </c>
      <c r="M47" s="2" t="inlineStr"/>
      <c r="N47" s="2" t="n">
        <v>5.8</v>
      </c>
      <c r="O47" s="2" t="inlineStr">
        <is>
          <t>Medium</t>
        </is>
      </c>
    </row>
    <row r="48">
      <c r="A48" s="2" t="inlineStr">
        <is>
          <t>T025</t>
        </is>
      </c>
      <c r="B48" s="2" t="inlineStr">
        <is>
          <t>Task</t>
        </is>
      </c>
      <c r="C48" s="2" t="inlineStr">
        <is>
          <t>[BE] F-13 View Dish Detail</t>
        </is>
      </c>
      <c r="D48" s="2" t="inlineStr">
        <is>
          <t>Use case F-13 View Dish Detail (Actor: Guest, Traveler). Allows a Guest or Traveler to view the details of a dish, including its name, description, characteristics, related information, and the restaurant that serves it.
Endpoint cần làm:
- DISH-02 GET /api/v1/dishes/{dishId}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48" s="2" t="inlineStr">
        <is>
          <t>Trọng</t>
        </is>
      </c>
      <c r="F48" s="2" t="inlineStr">
        <is>
          <t>ANGI Sprint 1</t>
        </is>
      </c>
      <c r="G48" s="2" t="inlineStr">
        <is>
          <t>EP-DISC</t>
        </is>
      </c>
      <c r="H48" s="2" t="n">
        <v>2</v>
      </c>
      <c r="I48" s="2" t="inlineStr">
        <is>
          <t>15/10/2026</t>
        </is>
      </c>
      <c r="J48" s="2" t="inlineStr">
        <is>
          <t>16/10/2026</t>
        </is>
      </c>
      <c r="K48" s="2" t="inlineStr">
        <is>
          <t>backend iteration1</t>
        </is>
      </c>
      <c r="L48" s="2" t="inlineStr">
        <is>
          <t>ANGI-60</t>
        </is>
      </c>
      <c r="M48" s="2" t="inlineStr"/>
      <c r="N48" s="2" t="n">
        <v>3.7</v>
      </c>
      <c r="O48" s="2" t="inlineStr">
        <is>
          <t>Medium</t>
        </is>
      </c>
    </row>
    <row r="49">
      <c r="A49" s="2" t="inlineStr">
        <is>
          <t>T094</t>
        </is>
      </c>
      <c r="B49" s="2" t="inlineStr">
        <is>
          <t>Task</t>
        </is>
      </c>
      <c r="C49" s="2" t="inlineStr">
        <is>
          <t>[FE] F-47 Submit Verification</t>
        </is>
      </c>
      <c r="D49" s="2" t="inlineStr">
        <is>
          <t>Use case F-47 Submit Verification (Actor: Restaurant Owner). Allows a Restaurant Owner to submit the information and documents required to request restaurant verification. The system checks that the submission is complete and moves the request to the pending review status.
Endpoint cần gọi:
- OWN-06 POST /api/v1/owner/restaurant/verifications
- MEDIA-01 POST /api/v1/media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49" s="2" t="inlineStr">
        <is>
          <t>Tuấn</t>
        </is>
      </c>
      <c r="F49" s="2" t="inlineStr">
        <is>
          <t>ANGI Sprint 1</t>
        </is>
      </c>
      <c r="G49" s="2" t="inlineStr">
        <is>
          <t>EP-REST</t>
        </is>
      </c>
      <c r="H49" s="2" t="n">
        <v>3</v>
      </c>
      <c r="I49" s="2" t="inlineStr">
        <is>
          <t>15/10/2026</t>
        </is>
      </c>
      <c r="J49" s="2" t="inlineStr">
        <is>
          <t>16/10/2026</t>
        </is>
      </c>
      <c r="K49" s="2" t="inlineStr">
        <is>
          <t>frontend iteration1</t>
        </is>
      </c>
      <c r="L49" s="2" t="inlineStr">
        <is>
          <t>ANGI-61</t>
        </is>
      </c>
      <c r="M49" s="2" t="inlineStr"/>
      <c r="N49" s="2" t="n">
        <v>5.5</v>
      </c>
      <c r="O49" s="2" t="inlineStr">
        <is>
          <t>Medium</t>
        </is>
      </c>
    </row>
    <row r="50">
      <c r="A50" s="2" t="inlineStr">
        <is>
          <t>T007</t>
        </is>
      </c>
      <c r="B50" s="2" t="inlineStr">
        <is>
          <t>Task</t>
        </is>
      </c>
      <c r="C50" s="2" t="inlineStr">
        <is>
          <t>[BE] F-04 Login with Google</t>
        </is>
      </c>
      <c r="D50" s="2" t="inlineStr">
        <is>
          <t>Use case F-04 Login with Google (Actor: Guest). Allows a user to log in or register an ANGI account using a Google account. The system verifies the information from Google, finds or creates the corresponding ANGI account, and establishes a login session for the user.
Endpoint cần làm:
- AUTH-05 POST /api/v1/auth/google
Ghi chú: Xác thực idToken Google, liên kết qua user_external_logins.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50" s="2" t="inlineStr">
        <is>
          <t>Hưng</t>
        </is>
      </c>
      <c r="F50" s="2" t="inlineStr">
        <is>
          <t>ANGI Sprint 1</t>
        </is>
      </c>
      <c r="G50" s="2" t="inlineStr">
        <is>
          <t>EP-AUTH</t>
        </is>
      </c>
      <c r="H50" s="2" t="n">
        <v>3</v>
      </c>
      <c r="I50" s="2" t="inlineStr">
        <is>
          <t>16/10/2026</t>
        </is>
      </c>
      <c r="J50" s="2" t="inlineStr">
        <is>
          <t>16/10/2026</t>
        </is>
      </c>
      <c r="K50" s="2" t="inlineStr">
        <is>
          <t>backend iteration1</t>
        </is>
      </c>
      <c r="L50" s="2" t="inlineStr">
        <is>
          <t>ANGI-62</t>
        </is>
      </c>
      <c r="M50" s="2" t="inlineStr"/>
      <c r="N50" s="2" t="n">
        <v>3.2</v>
      </c>
      <c r="O50" s="2" t="inlineStr">
        <is>
          <t>Medium</t>
        </is>
      </c>
    </row>
    <row r="51">
      <c r="A51" s="2" t="inlineStr">
        <is>
          <t>T026</t>
        </is>
      </c>
      <c r="B51" s="2" t="inlineStr">
        <is>
          <t>Task</t>
        </is>
      </c>
      <c r="C51" s="2" t="inlineStr">
        <is>
          <t>[FE] F-13 View Dish Detail</t>
        </is>
      </c>
      <c r="D51" s="2" t="inlineStr">
        <is>
          <t>Use case F-13 View Dish Detail (Actor: Guest, Traveler). Allows a Guest or Traveler to view the details of a dish, including its name, description, characteristics, related information, and the restaurant that serves it.
Endpoint cần gọi:
- DISH-02 GET /api/v1/dishes/{dishId}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51" s="2" t="inlineStr">
        <is>
          <t>Đức</t>
        </is>
      </c>
      <c r="F51" s="2" t="inlineStr">
        <is>
          <t>ANGI Sprint 1</t>
        </is>
      </c>
      <c r="G51" s="2" t="inlineStr">
        <is>
          <t>EP-DISC</t>
        </is>
      </c>
      <c r="H51" s="2" t="n">
        <v>2</v>
      </c>
      <c r="I51" s="2" t="inlineStr">
        <is>
          <t>16/10/2026</t>
        </is>
      </c>
      <c r="J51" s="2" t="inlineStr">
        <is>
          <t>16/10/2026</t>
        </is>
      </c>
      <c r="K51" s="2" t="inlineStr">
        <is>
          <t>frontend iteration1</t>
        </is>
      </c>
      <c r="L51" s="2" t="inlineStr">
        <is>
          <t>ANGI-63</t>
        </is>
      </c>
      <c r="M51" s="2" t="inlineStr"/>
      <c r="N51" s="2" t="n">
        <v>5.2</v>
      </c>
      <c r="O51" s="2" t="inlineStr">
        <is>
          <t>Medium</t>
        </is>
      </c>
    </row>
    <row r="52">
      <c r="A52" s="2" t="inlineStr">
        <is>
          <t>T027</t>
        </is>
      </c>
      <c r="B52" s="2" t="inlineStr">
        <is>
          <t>Task</t>
        </is>
      </c>
      <c r="C52" s="2" t="inlineStr">
        <is>
          <t>[BE] F-14 View Corresponding Restaurant Detail</t>
        </is>
      </c>
      <c r="D52" s="2" t="inlineStr">
        <is>
          <t>Use case F-14 View Corresponding Restaurant Detail (Actor: Guest, Traveler). Allows a Guest or Traveler to view the details of the eatery/restaurant that serves a specific dish, including basic information, address, location, opening hours, menu, rating, and other related information.
Endpoint cần làm:
- REST-02 GET /api/v1/restaurants/{restaurantId}
- DISH-02 GET /api/v1/dishes/{dishId}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52" s="2" t="inlineStr">
        <is>
          <t>Trọng</t>
        </is>
      </c>
      <c r="F52" s="2" t="inlineStr">
        <is>
          <t>ANGI Sprint 1</t>
        </is>
      </c>
      <c r="G52" s="2" t="inlineStr">
        <is>
          <t>EP-DISC</t>
        </is>
      </c>
      <c r="H52" s="2" t="n">
        <v>1</v>
      </c>
      <c r="I52" s="2" t="inlineStr">
        <is>
          <t>16/10/2026</t>
        </is>
      </c>
      <c r="J52" s="2" t="inlineStr">
        <is>
          <t>16/10/2026</t>
        </is>
      </c>
      <c r="K52" s="2" t="inlineStr">
        <is>
          <t>backend iteration1</t>
        </is>
      </c>
      <c r="L52" s="2" t="inlineStr">
        <is>
          <t>ANGI-64</t>
        </is>
      </c>
      <c r="M52" s="2" t="inlineStr"/>
      <c r="N52" s="2" t="n">
        <v>3.4</v>
      </c>
      <c r="O52" s="2" t="inlineStr">
        <is>
          <t>Medium</t>
        </is>
      </c>
    </row>
    <row r="53">
      <c r="A53" s="2" t="inlineStr">
        <is>
          <t>T096</t>
        </is>
      </c>
      <c r="B53" s="2" t="inlineStr">
        <is>
          <t>Task</t>
        </is>
      </c>
      <c r="C53" s="2" t="inlineStr">
        <is>
          <t>[FE] F-48 View Verification Status</t>
        </is>
      </c>
      <c r="D53" s="2" t="inlineStr">
        <is>
          <t>Use case F-48 View Verification Status (Actor: Restaurant Owner). Allows a Restaurant Owner to view the current status of the restaurant verification request, such as pending, approved, or rejected, along with any feedback.
Endpoint cần gọi:
- OWN-07 GET /api/v1/owner/restaurant/verifications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53" s="2" t="inlineStr">
        <is>
          <t>Tuấn</t>
        </is>
      </c>
      <c r="F53" s="2" t="inlineStr">
        <is>
          <t>ANGI Sprint 1</t>
        </is>
      </c>
      <c r="G53" s="2" t="inlineStr">
        <is>
          <t>EP-REST</t>
        </is>
      </c>
      <c r="H53" s="2" t="n">
        <v>1</v>
      </c>
      <c r="I53" s="2" t="inlineStr">
        <is>
          <t>16/10/2026</t>
        </is>
      </c>
      <c r="J53" s="2" t="inlineStr">
        <is>
          <t>16/10/2026</t>
        </is>
      </c>
      <c r="K53" s="2" t="inlineStr">
        <is>
          <t>frontend iteration1</t>
        </is>
      </c>
      <c r="L53" s="2" t="inlineStr">
        <is>
          <t>ANGI-65</t>
        </is>
      </c>
      <c r="M53" s="2" t="inlineStr"/>
      <c r="N53" s="2" t="n">
        <v>5.1</v>
      </c>
      <c r="O53" s="2" t="inlineStr">
        <is>
          <t>Medium</t>
        </is>
      </c>
    </row>
    <row r="54">
      <c r="A54" s="2" t="inlineStr">
        <is>
          <t>T009</t>
        </is>
      </c>
      <c r="B54" s="2" t="inlineStr">
        <is>
          <t>Task</t>
        </is>
      </c>
      <c r="C54" s="2" t="inlineStr">
        <is>
          <t>[BE] F-05 Forgot Password</t>
        </is>
      </c>
      <c r="D54" s="2" t="inlineStr">
        <is>
          <t>Use case F-05 Forgot Password (Actor: Guest). Allows a user to request password recovery when they cannot remember their current password. The user provides the required identifying information; the system checks the account and then sends the information or link needed to reset the password.
Endpoint cần làm:
- AUTH-08 POST /api/v1/auth/forgot-password
Ghi chú: Luôn trả 200 (data null) dù email có tồn tại hay không (AUTH-08); giới hạn 1 lần / 60 giây.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54" s="2" t="inlineStr">
        <is>
          <t>Hưng</t>
        </is>
      </c>
      <c r="F54" s="2" t="inlineStr">
        <is>
          <t>ANGI Sprint 1</t>
        </is>
      </c>
      <c r="G54" s="2" t="inlineStr">
        <is>
          <t>EP-AUTH</t>
        </is>
      </c>
      <c r="H54" s="2" t="n">
        <v>2</v>
      </c>
      <c r="I54" s="2" t="inlineStr">
        <is>
          <t>16/10/2026</t>
        </is>
      </c>
      <c r="J54" s="2" t="inlineStr">
        <is>
          <t>17/10/2026</t>
        </is>
      </c>
      <c r="K54" s="2" t="inlineStr">
        <is>
          <t>backend iteration1</t>
        </is>
      </c>
      <c r="L54" s="2" t="inlineStr">
        <is>
          <t>ANGI-66</t>
        </is>
      </c>
      <c r="M54" s="2" t="inlineStr"/>
      <c r="N54" s="2" t="n">
        <v>2.8</v>
      </c>
      <c r="O54" s="2" t="inlineStr">
        <is>
          <t>Medium</t>
        </is>
      </c>
    </row>
    <row r="55">
      <c r="A55" s="2" t="inlineStr">
        <is>
          <t>T028</t>
        </is>
      </c>
      <c r="B55" s="2" t="inlineStr">
        <is>
          <t>Task</t>
        </is>
      </c>
      <c r="C55" s="2" t="inlineStr">
        <is>
          <t>[FE] F-14 View Corresponding Restaurant Detail</t>
        </is>
      </c>
      <c r="D55" s="2" t="inlineStr">
        <is>
          <t>Use case F-14 View Corresponding Restaurant Detail (Actor: Guest, Traveler). Allows a Guest or Traveler to view the details of the eatery/restaurant that serves a specific dish, including basic information, address, location, opening hours, menu, rating, and other related information.
Endpoint cần gọi:
- REST-02 GET /api/v1/restaurants/{restaurantId}
- DISH-02 GET /api/v1/dishes/{dishId}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55" s="2" t="inlineStr">
        <is>
          <t>Đức</t>
        </is>
      </c>
      <c r="F55" s="2" t="inlineStr">
        <is>
          <t>ANGI Sprint 1</t>
        </is>
      </c>
      <c r="G55" s="2" t="inlineStr">
        <is>
          <t>EP-DISC</t>
        </is>
      </c>
      <c r="H55" s="2" t="n">
        <v>1</v>
      </c>
      <c r="I55" s="2" t="inlineStr">
        <is>
          <t>16/10/2026</t>
        </is>
      </c>
      <c r="J55" s="2" t="inlineStr">
        <is>
          <t>17/10/2026</t>
        </is>
      </c>
      <c r="K55" s="2" t="inlineStr">
        <is>
          <t>frontend iteration1</t>
        </is>
      </c>
      <c r="L55" s="2" t="inlineStr">
        <is>
          <t>ANGI-67</t>
        </is>
      </c>
      <c r="M55" s="2" t="inlineStr"/>
      <c r="N55" s="2" t="n">
        <v>4.9</v>
      </c>
      <c r="O55" s="2" t="inlineStr">
        <is>
          <t>Medium</t>
        </is>
      </c>
    </row>
    <row r="56">
      <c r="A56" s="2" t="inlineStr">
        <is>
          <t>T098</t>
        </is>
      </c>
      <c r="B56" s="2" t="inlineStr">
        <is>
          <t>Task</t>
        </is>
      </c>
      <c r="C56" s="2" t="inlineStr">
        <is>
          <t>[FE] F-49 Resubmit Verification</t>
        </is>
      </c>
      <c r="D56" s="2" t="inlineStr">
        <is>
          <t>Use case F-49 Resubmit Verification (Actor: Restaurant Owner). Allows a Restaurant Owner to resubmit a verification request after the previous submission was rejected or more information was requested. The system receives the updated data and creates a new submission for review.
Endpoint cần gọi:
- OWN-08 POST /api/v1/owner/restaurant/verifications/{verificationId}/resubmit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56" s="2" t="inlineStr">
        <is>
          <t>Tuấn</t>
        </is>
      </c>
      <c r="F56" s="2" t="inlineStr">
        <is>
          <t>ANGI Sprint 1</t>
        </is>
      </c>
      <c r="G56" s="2" t="inlineStr">
        <is>
          <t>EP-REST</t>
        </is>
      </c>
      <c r="H56" s="2" t="n">
        <v>2</v>
      </c>
      <c r="I56" s="2" t="inlineStr">
        <is>
          <t>16/10/2026</t>
        </is>
      </c>
      <c r="J56" s="2" t="inlineStr">
        <is>
          <t>17/10/2026</t>
        </is>
      </c>
      <c r="K56" s="2" t="inlineStr">
        <is>
          <t>frontend iteration1</t>
        </is>
      </c>
      <c r="L56" s="2" t="inlineStr">
        <is>
          <t>ANGI-68</t>
        </is>
      </c>
      <c r="M56" s="2" t="inlineStr"/>
      <c r="N56" s="2" t="n">
        <v>4.4</v>
      </c>
      <c r="O56" s="2" t="inlineStr">
        <is>
          <t>Medium</t>
        </is>
      </c>
    </row>
    <row r="57">
      <c r="A57" s="3" t="inlineStr">
        <is>
          <t>T023</t>
        </is>
      </c>
      <c r="B57" s="3" t="inlineStr">
        <is>
          <t>Task</t>
        </is>
      </c>
      <c r="C57" s="3" t="inlineStr">
        <is>
          <t>[BE] F-12 Browse Dish</t>
        </is>
      </c>
      <c r="D57" s="3" t="inlineStr">
        <is>
          <t>[CRITICAL PATH] Task này nằm trên đường găng: dự phòng tối đa 1 ngày. Phải xong đúng Due Date 17/10/2026; trễ 1 ngày thì mốc "Software Package Version 1" (25/10/2026) bị trễ theo.
Ảnh hưởng trực tiếp tới: [BE] F-18 Roll Dish; Code freeze + tích hợp Iteration 1: merge PR vào dev, chạy toàn hệ thống.
Cần xong trước khi bắt đầu: Reco client trong backend .NET (IRecommendationService); Reco P1: Cold start (Pooled Wilson) + Content-based, RECO-05 /recommendations, RECO-06 /impressions; Database: ANGIContext schema core, base class, initial migration; Backend: ExceptionHandlingMiddleware, cấu hình JWT, CORS, rate limit; Seed data: nhà hàng đã verify, món, user test cho mọi role.
Gặp vướng thì báo ngay trong ngày cho Dũng (PM), không đợi họp.
Use case F-12 Browse Dish (Actor: Guest, Traveler). Allows a Guest or Traveler to browse the list of dishes on ANGI. Users can view basic information and use the supported filtering or search options to discover suitable dishes.
Endpoint cần làm:
- DISH-01 GET /api/v1/dishes
- IMP-01 POST /api/v1/impressions
- CAT-02 GET /api/v1/tags
Ghi chú: Backend lọc ứng viên (tag, giá, bữa…) rồi gọi RECO-05; trả cursor + requestId. App gửi IMP-01 để ghi impression. Lọc quán gần: lat, lng, radiusKm (mặc định 5 km) lọc bounding box rồi Haversine trên restaurants.latitude/longitude trước khi gọi reco; viết thành helper dùng chung (DISH-03, RM-06, RM-10 dùng lại).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Reco client trong backend .NET (IRecommendationService), Reco P1: Cold start (Pooled Wilson) + Content-based, RECO-05 /recommendations, RECO-06 /impressions.</t>
        </is>
      </c>
      <c r="E57" s="3" t="inlineStr">
        <is>
          <t>Trọng</t>
        </is>
      </c>
      <c r="F57" s="3" t="inlineStr">
        <is>
          <t>ANGI Sprint 1</t>
        </is>
      </c>
      <c r="G57" s="3" t="inlineStr">
        <is>
          <t>EP-DISC</t>
        </is>
      </c>
      <c r="H57" s="3" t="n">
        <v>4</v>
      </c>
      <c r="I57" s="3" t="inlineStr">
        <is>
          <t>17/10/2026</t>
        </is>
      </c>
      <c r="J57" s="3" t="inlineStr">
        <is>
          <t>17/10/2026</t>
        </is>
      </c>
      <c r="K57" s="3" t="inlineStr">
        <is>
          <t>backend iteration1 critical-path</t>
        </is>
      </c>
      <c r="L57" s="3" t="inlineStr">
        <is>
          <t>ANGI-69</t>
        </is>
      </c>
      <c r="M57" s="3" t="inlineStr">
        <is>
          <t>Có</t>
        </is>
      </c>
      <c r="N57" s="3" t="n">
        <v>1.4</v>
      </c>
      <c r="O57" s="3" t="inlineStr">
        <is>
          <t>Highest</t>
        </is>
      </c>
    </row>
    <row r="58">
      <c r="A58" s="2" t="inlineStr">
        <is>
          <t>T011</t>
        </is>
      </c>
      <c r="B58" s="2" t="inlineStr">
        <is>
          <t>Task</t>
        </is>
      </c>
      <c r="C58" s="2" t="inlineStr">
        <is>
          <t>[BE] F-06 Reset Password</t>
        </is>
      </c>
      <c r="D58" s="2" t="inlineStr">
        <is>
          <t>Use case F-06 Reset Password (Actor: Guest). Allows a user to set a new password through the password recovery process. The system verifies that the reset request is valid, checks the requirements for the new password, and updates the account's credentials.
Endpoint cần làm:
- AUTH-09 POST /api/v1/auth/reset-password
Ghi chú: Đổi mật khẩu xong thì thu hồi mọi phiên (user_sessions.revoked_at).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58" s="2" t="inlineStr">
        <is>
          <t>Hưng</t>
        </is>
      </c>
      <c r="F58" s="2" t="inlineStr">
        <is>
          <t>ANGI Sprint 1</t>
        </is>
      </c>
      <c r="G58" s="2" t="inlineStr">
        <is>
          <t>EP-AUTH</t>
        </is>
      </c>
      <c r="H58" s="2" t="n">
        <v>2</v>
      </c>
      <c r="I58" s="2" t="inlineStr">
        <is>
          <t>17/10/2026</t>
        </is>
      </c>
      <c r="J58" s="2" t="inlineStr">
        <is>
          <t>17/10/2026</t>
        </is>
      </c>
      <c r="K58" s="2" t="inlineStr">
        <is>
          <t>backend iteration1</t>
        </is>
      </c>
      <c r="L58" s="2" t="inlineStr">
        <is>
          <t>ANGI-70</t>
        </is>
      </c>
      <c r="M58" s="2" t="inlineStr"/>
      <c r="N58" s="2" t="n">
        <v>2.3</v>
      </c>
      <c r="O58" s="2" t="inlineStr">
        <is>
          <t>Medium</t>
        </is>
      </c>
    </row>
    <row r="59">
      <c r="A59" s="2" t="inlineStr">
        <is>
          <t>T033</t>
        </is>
      </c>
      <c r="B59" s="2" t="inlineStr">
        <is>
          <t>Task</t>
        </is>
      </c>
      <c r="C59" s="2" t="inlineStr">
        <is>
          <t>[BE] F-17 Set Up Preference Profile</t>
        </is>
      </c>
      <c r="D59" s="2" t="inlineStr">
        <is>
          <t>Use case F-17 Set Up Preference Profile (Actor: Traveler). Allows a Traveler to set up an initial preference profile by answering the system's questions on first use, to support the recommendation system. The system stores the answers as the initial input data for the preference profile.
Endpoint cần làm:
- PREF-02 POST /api/v1/me/preference-survey
- PREF-03 POST /api/v1/me/preference-survey/skip
Ghi chú: Câu trả lời khảo sát chỉ lưu ở reco: gọi RECO-03 trực tiếp; bỏ qua = PREF-03 gửi answers rỗng.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Hưng review. | Làm sau: Reco P1: User vector từ khảo sát (RECO-03, RECO-09).</t>
        </is>
      </c>
      <c r="E59" s="2" t="inlineStr">
        <is>
          <t>Dũng</t>
        </is>
      </c>
      <c r="F59" s="2" t="inlineStr">
        <is>
          <t>ANGI Sprint 1</t>
        </is>
      </c>
      <c r="G59" s="2" t="inlineStr">
        <is>
          <t>EP-DISC</t>
        </is>
      </c>
      <c r="H59" s="2" t="n">
        <v>3</v>
      </c>
      <c r="I59" s="2" t="inlineStr">
        <is>
          <t>17/10/2026</t>
        </is>
      </c>
      <c r="J59" s="2" t="inlineStr">
        <is>
          <t>17/10/2026</t>
        </is>
      </c>
      <c r="K59" s="2" t="inlineStr">
        <is>
          <t>backend iteration1</t>
        </is>
      </c>
      <c r="L59" s="2" t="inlineStr">
        <is>
          <t>ANGI-71</t>
        </is>
      </c>
      <c r="M59" s="2" t="inlineStr"/>
      <c r="N59" s="2" t="n">
        <v>2</v>
      </c>
      <c r="O59" s="2" t="inlineStr">
        <is>
          <t>Medium</t>
        </is>
      </c>
    </row>
    <row r="60">
      <c r="A60" s="3" t="inlineStr">
        <is>
          <t>T021</t>
        </is>
      </c>
      <c r="B60" s="3" t="inlineStr">
        <is>
          <t>Task</t>
        </is>
      </c>
      <c r="C60" s="3" t="inlineStr">
        <is>
          <t>[BE] F-11 View Home Page</t>
        </is>
      </c>
      <c r="D60" s="3" t="inlineStr">
        <is>
          <t>[CRITICAL PATH] Task này nằm trên đường găng: dự phòng tối đa 1 ngày. Phải xong đúng Due Date 18/10/2026; trễ 1 ngày thì mốc "Software Package Version 1" (25/10/2026) bị trễ theo.
Ảnh hưởng trực tiếp tới: Code freeze + tích hợp Iteration 1: merge PR vào dev, chạy toàn hệ thống.
Cần xong trước khi bắt đầu: Reco P1: Cold start (Pooled Wilson) + Content-based, RECO-05 /recommendations, RECO-06 /impressions; Database: ANGIContext schema core, base class, initial migration; Backend: ExceptionHandlingMiddleware, cấu hình JWT, CORS, rate limit; Seed data: nhà hàng đã verify, món, user test cho mọi role.
Gặp vướng thì báo ngay trong ngày cho Dũng (PM), không đợi họp.
Use case F-11 View Home Page (Actor: Guest, Traveler). Allows a Guest or Traveler to view the Home Page, which shows information such as trending dishes, top restaurants, highly interacted user blogs, web banners, etc.
Endpoint cần làm:
- HOME-01 GET /api/v1/home
- IMP-01 POST /api/v1/impressions
Ghi chú: Món gợi ý lấy qua IRecommendationService (RECO-05). Reco lỗi hoặc quá 800 ms thì xếp theo rating quán (project_architecture.md mục 2).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Reco P1: Cold start (Pooled Wilson) + Content-based, RECO-05 /recommendations, RECO-06 /impressions.</t>
        </is>
      </c>
      <c r="E60" s="3" t="inlineStr">
        <is>
          <t>Trọng</t>
        </is>
      </c>
      <c r="F60" s="3" t="inlineStr">
        <is>
          <t>ANGI Sprint 1</t>
        </is>
      </c>
      <c r="G60" s="3" t="inlineStr">
        <is>
          <t>EP-DISC</t>
        </is>
      </c>
      <c r="H60" s="3" t="n">
        <v>3</v>
      </c>
      <c r="I60" s="3" t="inlineStr">
        <is>
          <t>17/10/2026</t>
        </is>
      </c>
      <c r="J60" s="3" t="inlineStr">
        <is>
          <t>18/10/2026</t>
        </is>
      </c>
      <c r="K60" s="3" t="inlineStr">
        <is>
          <t>backend iteration1 critical-path</t>
        </is>
      </c>
      <c r="L60" s="3" t="inlineStr">
        <is>
          <t>ANGI-72</t>
        </is>
      </c>
      <c r="M60" s="3" t="inlineStr">
        <is>
          <t>Có</t>
        </is>
      </c>
      <c r="N60" s="3" t="n">
        <v>1.4</v>
      </c>
      <c r="O60" s="3" t="inlineStr">
        <is>
          <t>Highest</t>
        </is>
      </c>
    </row>
    <row r="61">
      <c r="A61" s="2" t="inlineStr">
        <is>
          <t>T024</t>
        </is>
      </c>
      <c r="B61" s="2" t="inlineStr">
        <is>
          <t>Task</t>
        </is>
      </c>
      <c r="C61" s="2" t="inlineStr">
        <is>
          <t>[FE] F-12 Browse Dish</t>
        </is>
      </c>
      <c r="D61" s="2" t="inlineStr">
        <is>
          <t>Use case F-12 Browse Dish (Actor: Guest, Traveler). Allows a Guest or Traveler to browse the list of dishes on ANGI. Users can view basic information and use the supported filtering or search options to discover suitable dishes.
Endpoint cần gọi:
- DISH-01 GET /api/v1/dishes
- IMP-01 POST /api/v1/impressions
- CAT-02 GET /api/v1/tags
Ghi chú: Lọc quán gần: xin quyền vị trí trình duyệt, bị từ chối thì cho chấm trên bản đồ (Mapbox GL, public token); chọn bán kính, gửi lat/lng/radiusKm.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61" s="2" t="inlineStr">
        <is>
          <t>Đức</t>
        </is>
      </c>
      <c r="F61" s="2" t="inlineStr">
        <is>
          <t>ANGI Sprint 1</t>
        </is>
      </c>
      <c r="G61" s="2" t="inlineStr">
        <is>
          <t>EP-DISC</t>
        </is>
      </c>
      <c r="H61" s="2" t="n">
        <v>4</v>
      </c>
      <c r="I61" s="2" t="inlineStr">
        <is>
          <t>17/10/2026</t>
        </is>
      </c>
      <c r="J61" s="2" t="inlineStr">
        <is>
          <t>18/10/2026</t>
        </is>
      </c>
      <c r="K61" s="2" t="inlineStr">
        <is>
          <t>frontend iteration1</t>
        </is>
      </c>
      <c r="L61" s="2" t="inlineStr">
        <is>
          <t>ANGI-73</t>
        </is>
      </c>
      <c r="M61" s="2" t="inlineStr"/>
      <c r="N61" s="2" t="n">
        <v>3.9</v>
      </c>
      <c r="O61" s="2" t="inlineStr">
        <is>
          <t>Medium</t>
        </is>
      </c>
    </row>
    <row r="62">
      <c r="A62" s="2" t="inlineStr">
        <is>
          <t>T034</t>
        </is>
      </c>
      <c r="B62" s="2" t="inlineStr">
        <is>
          <t>Task</t>
        </is>
      </c>
      <c r="C62" s="2" t="inlineStr">
        <is>
          <t>[FE] F-17 Set Up Preference Profile</t>
        </is>
      </c>
      <c r="D62" s="2" t="inlineStr">
        <is>
          <t>Use case F-17 Set Up Preference Profile (Actor: Traveler). Allows a Traveler to set up an initial preference profile by answering the system's questions on first use, to support the recommendation system. The system stores the answers as the initial input data for the preference profile.
Endpoint cần gọi:
- PREF-02 POST /api/v1/me/preference-survey
- PREF-03 POST /api/v1/me/preference-survey/skip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62" s="2" t="inlineStr">
        <is>
          <t>Tuấn</t>
        </is>
      </c>
      <c r="F62" s="2" t="inlineStr">
        <is>
          <t>ANGI Sprint 1</t>
        </is>
      </c>
      <c r="G62" s="2" t="inlineStr">
        <is>
          <t>EP-DISC</t>
        </is>
      </c>
      <c r="H62" s="2" t="n">
        <v>2</v>
      </c>
      <c r="I62" s="2" t="inlineStr">
        <is>
          <t>17/10/2026</t>
        </is>
      </c>
      <c r="J62" s="2" t="inlineStr">
        <is>
          <t>18/10/2026</t>
        </is>
      </c>
      <c r="K62" s="2" t="inlineStr">
        <is>
          <t>frontend iteration1</t>
        </is>
      </c>
      <c r="L62" s="2" t="inlineStr">
        <is>
          <t>ANGI-74</t>
        </is>
      </c>
      <c r="M62" s="2" t="inlineStr"/>
      <c r="N62" s="2" t="n">
        <v>3.6</v>
      </c>
      <c r="O62" s="2" t="inlineStr">
        <is>
          <t>Medium</t>
        </is>
      </c>
    </row>
    <row r="63">
      <c r="A63" s="2" t="inlineStr">
        <is>
          <t>T093</t>
        </is>
      </c>
      <c r="B63" s="2" t="inlineStr">
        <is>
          <t>Task</t>
        </is>
      </c>
      <c r="C63" s="2" t="inlineStr">
        <is>
          <t>[BE] F-47 Submit Verification</t>
        </is>
      </c>
      <c r="D63" s="2" t="inlineStr">
        <is>
          <t>Use case F-47 Submit Verification (Actor: Restaurant Owner). Allows a Restaurant Owner to submit the information and documents required to request restaurant verification. The system checks that the submission is complete and moves the request to the pending review status.
Endpoint cần làm:
- OWN-06 POST /api/v1/owner/restaurant/verifications
- MEDIA-01 POST /api/v1/media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63" s="2" t="inlineStr">
        <is>
          <t>Hưng</t>
        </is>
      </c>
      <c r="F63" s="2" t="inlineStr">
        <is>
          <t>ANGI Sprint 1</t>
        </is>
      </c>
      <c r="G63" s="2" t="inlineStr">
        <is>
          <t>EP-REST</t>
        </is>
      </c>
      <c r="H63" s="2" t="n">
        <v>3</v>
      </c>
      <c r="I63" s="2" t="inlineStr">
        <is>
          <t>17/10/2026</t>
        </is>
      </c>
      <c r="J63" s="2" t="inlineStr">
        <is>
          <t>18/10/2026</t>
        </is>
      </c>
      <c r="K63" s="2" t="inlineStr">
        <is>
          <t>backend iteration1</t>
        </is>
      </c>
      <c r="L63" s="2" t="inlineStr">
        <is>
          <t>ANGI-75</t>
        </is>
      </c>
      <c r="M63" s="2" t="inlineStr"/>
      <c r="N63" s="2" t="n">
        <v>1.7</v>
      </c>
      <c r="O63" s="2" t="inlineStr">
        <is>
          <t>Medium</t>
        </is>
      </c>
    </row>
    <row r="64">
      <c r="A64" s="3" t="inlineStr">
        <is>
          <t>T101</t>
        </is>
      </c>
      <c r="B64" s="3" t="inlineStr">
        <is>
          <t>Task</t>
        </is>
      </c>
      <c r="C64" s="3" t="inlineStr">
        <is>
          <t>[BE] F-51 Submit Menu for Approval</t>
        </is>
      </c>
      <c r="D64" s="3" t="inlineStr">
        <is>
          <t>[CRITICAL PATH] Task này nằm trên đường găng: dự phòng tối đa 1 ngày. Phải xong đúng Due Date 18/10/2026; trễ 1 ngày thì mốc "Software Package Version 1" (25/10/2026) bị trễ theo.
Ảnh hưởng trực tiếp tới: [FE] F-51 Submit Menu for Approval; Code freeze + tích hợp Iteration 1: merge PR vào dev, chạy toàn hệ thống.
Cần xong trước khi bắt đầu: Database: ANGIContext schema core, base class, initial migration; Backend: ExceptionHandlingMiddleware, cấu hình JWT, CORS, rate limit.
Gặp vướng thì báo ngay trong ngày cho Dũng (PM), không đợi họp.
Use case F-51 Submit Menu for Approval (Actor: Restaurant Owner). Allows a Restaurant Owner to submit completed menu changes to the system for review and approval. The system moves the menu/submission to the pending approval status.
Endpoint cần làm:
- OWN-17 POST /api/v1/owner/restaurant/menu-submissions/{submissionId}/submit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64" s="3" t="inlineStr">
        <is>
          <t>Hưng</t>
        </is>
      </c>
      <c r="F64" s="3" t="inlineStr">
        <is>
          <t>ANGI Sprint 1</t>
        </is>
      </c>
      <c r="G64" s="3" t="inlineStr">
        <is>
          <t>EP-REST</t>
        </is>
      </c>
      <c r="H64" s="3" t="n">
        <v>3</v>
      </c>
      <c r="I64" s="3" t="inlineStr">
        <is>
          <t>18/10/2026</t>
        </is>
      </c>
      <c r="J64" s="3" t="inlineStr">
        <is>
          <t>18/10/2026</t>
        </is>
      </c>
      <c r="K64" s="3" t="inlineStr">
        <is>
          <t>backend iteration1 critical-path</t>
        </is>
      </c>
      <c r="L64" s="3" t="inlineStr">
        <is>
          <t>ANGI-76</t>
        </is>
      </c>
      <c r="M64" s="3" t="inlineStr">
        <is>
          <t>Có</t>
        </is>
      </c>
      <c r="N64" s="3" t="n">
        <v>1</v>
      </c>
      <c r="O64" s="3" t="inlineStr">
        <is>
          <t>Highest</t>
        </is>
      </c>
    </row>
    <row r="65">
      <c r="A65" s="2" t="inlineStr">
        <is>
          <t>T145</t>
        </is>
      </c>
      <c r="B65" s="2" t="inlineStr">
        <is>
          <t>Task</t>
        </is>
      </c>
      <c r="C65" s="2" t="inlineStr">
        <is>
          <t>Outbox worker (.NET) gửi thay đổi món và like/dislike sang reco</t>
        </is>
      </c>
      <c r="D65" s="2" t="inlineStr">
        <is>
          <t>BackgroundService đọc outbox_messages, gửi kèm Idempotency-Key, thử lại theo backoff, chuyển dead khi lỗi 4xx hoặc quá số lần thử. Chi tiết luồng: project_architecture.md mục 7. | Làm sau: Reco P1: Sinh dish vector (RECO-01 upsert, RECO-02 deactivate), [BE] F-50 Manage Restaurant Menu.</t>
        </is>
      </c>
      <c r="E65" s="2" t="inlineStr">
        <is>
          <t>Dũng</t>
        </is>
      </c>
      <c r="F65" s="2" t="inlineStr">
        <is>
          <t>ANGI Sprint 1</t>
        </is>
      </c>
      <c r="G65" s="2" t="inlineStr">
        <is>
          <t>EP-SETUP</t>
        </is>
      </c>
      <c r="H65" s="2" t="n">
        <v>3</v>
      </c>
      <c r="I65" s="2" t="inlineStr">
        <is>
          <t>18/10/2026</t>
        </is>
      </c>
      <c r="J65" s="2" t="inlineStr">
        <is>
          <t>18/10/2026</t>
        </is>
      </c>
      <c r="K65" s="2" t="inlineStr">
        <is>
          <t>devops</t>
        </is>
      </c>
      <c r="L65" s="2" t="inlineStr">
        <is>
          <t>ANGI-77</t>
        </is>
      </c>
      <c r="M65" s="2" t="inlineStr"/>
      <c r="N65" s="2" t="n">
        <v>3</v>
      </c>
      <c r="O65" s="2" t="inlineStr">
        <is>
          <t>Medium</t>
        </is>
      </c>
    </row>
    <row r="66">
      <c r="A66" s="3" t="inlineStr">
        <is>
          <t>T035</t>
        </is>
      </c>
      <c r="B66" s="3" t="inlineStr">
        <is>
          <t>Task</t>
        </is>
      </c>
      <c r="C66" s="3" t="inlineStr">
        <is>
          <t>[BE] F-18 Roll Dish</t>
        </is>
      </c>
      <c r="D66" s="3" t="inlineStr">
        <is>
          <t>[CRITICAL PATH] Task này nằm trên đường găng: dự phòng tối đa 1 ngày. Phải xong đúng Due Date 19/10/2026; trễ 1 ngày thì mốc "Software Package Version 1" (25/10/2026) bị trễ theo.
Ảnh hưởng trực tiếp tới: [FE] F-18 Roll Dish; Code freeze + tích hợp Iteration 1: merge PR vào dev, chạy toàn hệ thống.
Cần xong trước khi bắt đầu: [BE] F-12 Browse Dish; Database: ANGIContext schema core, base class, initial migration; Backend: ExceptionHandlingMiddleware, cấu hình JWT, CORS, rate limit; Seed data: nhà hàng đã verify, món, user test cho mọi role.
Gặp vướng thì báo ngay trong ngày cho Dũng (PM), không đợi họp.
Use case F-18 Roll Dish (Actor: Traveler). Allows a Traveler to ask the system to randomly pick a dish from the set of suitable or supported dishes. The system selects a dish and shows the information needed for the user to discover a new dish.
Endpoint cần làm:
- DISH-03 POST /api/v1/dishes/roll
Ghi chú: Chỉ món của nhà hàng đã verify; xếp hạng qua RECO-05 rồi chọn, gửi RECO-06 cho món đã hiện; lưu dish_rolls. Có latitude/longitude thì chỉ roll quán trong radiusKm (mặc định 3 km), dùng helper lọc quán gần của F-12.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[BE] F-12 Browse Dish.</t>
        </is>
      </c>
      <c r="E66" s="3" t="inlineStr">
        <is>
          <t>Trọng</t>
        </is>
      </c>
      <c r="F66" s="3" t="inlineStr">
        <is>
          <t>ANGI Sprint 1</t>
        </is>
      </c>
      <c r="G66" s="3" t="inlineStr">
        <is>
          <t>EP-DISC</t>
        </is>
      </c>
      <c r="H66" s="3" t="n">
        <v>4</v>
      </c>
      <c r="I66" s="3" t="inlineStr">
        <is>
          <t>18/10/2026</t>
        </is>
      </c>
      <c r="J66" s="3" t="inlineStr">
        <is>
          <t>19/10/2026</t>
        </is>
      </c>
      <c r="K66" s="3" t="inlineStr">
        <is>
          <t>backend iteration1 critical-path</t>
        </is>
      </c>
      <c r="L66" s="3" t="inlineStr">
        <is>
          <t>ANGI-78</t>
        </is>
      </c>
      <c r="M66" s="3" t="inlineStr">
        <is>
          <t>Có</t>
        </is>
      </c>
      <c r="N66" s="3" t="n">
        <v>0.6</v>
      </c>
      <c r="O66" s="3" t="inlineStr">
        <is>
          <t>Highest</t>
        </is>
      </c>
    </row>
    <row r="67">
      <c r="A67" s="2" t="inlineStr">
        <is>
          <t>T022</t>
        </is>
      </c>
      <c r="B67" s="2" t="inlineStr">
        <is>
          <t>Task</t>
        </is>
      </c>
      <c r="C67" s="2" t="inlineStr">
        <is>
          <t>[FE] F-11 View Home Page</t>
        </is>
      </c>
      <c r="D67" s="2" t="inlineStr">
        <is>
          <t>Use case F-11 View Home Page (Actor: Guest, Traveler). Allows a Guest or Traveler to view the Home Page, which shows information such as trending dishes, top restaurants, highly interacted user blogs, web banners, etc.
Endpoint cần gọi:
- HOME-01 GET /api/v1/home
- IMP-01 POST /api/v1/impressions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67" s="2" t="inlineStr">
        <is>
          <t>Đức</t>
        </is>
      </c>
      <c r="F67" s="2" t="inlineStr">
        <is>
          <t>ANGI Sprint 1</t>
        </is>
      </c>
      <c r="G67" s="2" t="inlineStr">
        <is>
          <t>EP-DISC</t>
        </is>
      </c>
      <c r="H67" s="2" t="n">
        <v>3</v>
      </c>
      <c r="I67" s="2" t="inlineStr">
        <is>
          <t>18/10/2026</t>
        </is>
      </c>
      <c r="J67" s="2" t="inlineStr">
        <is>
          <t>19/10/2026</t>
        </is>
      </c>
      <c r="K67" s="2" t="inlineStr">
        <is>
          <t>frontend iteration1</t>
        </is>
      </c>
      <c r="L67" s="2" t="inlineStr">
        <is>
          <t>ANGI-79</t>
        </is>
      </c>
      <c r="M67" s="2" t="inlineStr"/>
      <c r="N67" s="2" t="n">
        <v>2.9</v>
      </c>
      <c r="O67" s="2" t="inlineStr">
        <is>
          <t>Medium</t>
        </is>
      </c>
    </row>
    <row r="68">
      <c r="A68" s="2" t="inlineStr">
        <is>
          <t>T100</t>
        </is>
      </c>
      <c r="B68" s="2" t="inlineStr">
        <is>
          <t>Task</t>
        </is>
      </c>
      <c r="C68" s="2" t="inlineStr">
        <is>
          <t>[FE] F-50 Manage Restaurant Menu</t>
        </is>
      </c>
      <c r="D68" s="2" t="inlineStr">
        <is>
          <t>Use case F-50 Manage Restaurant Menu (Actor: Restaurant Owner). Allows a Restaurant Owner to manage the restaurant's menu, including adding, editing, or removing dishes and related information. Changes may need to go through an approval process depending on the status of the restaurant and the menu.
Endpoint cần gọi:
- OWN-09 GET /api/v1/owner/restaurant/menu
- OWN-10 PUT /api/v1/owner/restaurant/menu/dishes/{dishId}/availability
- OWN-11 POST /api/v1/owner/restaurant/menu-submissions
- OWN-12 GET /api/v1/owner/restaurant/menu-submissions
- OWN-13 GET /api/v1/owner/restaurant/menu-submissions/{submissionId}
- OWN-14 POST /api/v1/owner/restaurant/menu-submissions/{submissionId}/items
- OWN-15 PATCH /api/v1/owner/restaurant/menu-submissions/{submissionId}/items/{itemId}
- OWN-16 DELETE /api/v1/owner/restaurant/menu-submissions/{submissionId}/items/{itemId}
- OWN-18 POST /api/v1/owner/restaurant/menu-submissions/{submissionId}/cancel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68" s="2" t="inlineStr">
        <is>
          <t>Tuấn</t>
        </is>
      </c>
      <c r="F68" s="2" t="inlineStr">
        <is>
          <t>ANGI Sprint 1</t>
        </is>
      </c>
      <c r="G68" s="2" t="inlineStr">
        <is>
          <t>EP-REST</t>
        </is>
      </c>
      <c r="H68" s="2" t="n">
        <v>5</v>
      </c>
      <c r="I68" s="2" t="inlineStr">
        <is>
          <t>18/10/2026</t>
        </is>
      </c>
      <c r="J68" s="2" t="inlineStr">
        <is>
          <t>20/10/2026</t>
        </is>
      </c>
      <c r="K68" s="2" t="inlineStr">
        <is>
          <t>frontend iteration1</t>
        </is>
      </c>
      <c r="L68" s="2" t="inlineStr">
        <is>
          <t>ANGI-80</t>
        </is>
      </c>
      <c r="M68" s="2" t="inlineStr"/>
      <c r="N68" s="2" t="n">
        <v>1.8</v>
      </c>
      <c r="O68" s="2" t="inlineStr">
        <is>
          <t>High</t>
        </is>
      </c>
    </row>
    <row r="69">
      <c r="A69" s="2" t="inlineStr">
        <is>
          <t>T010</t>
        </is>
      </c>
      <c r="B69" s="2" t="inlineStr">
        <is>
          <t>Task</t>
        </is>
      </c>
      <c r="C69" s="2" t="inlineStr">
        <is>
          <t>[FE] F-05 Forgot Password</t>
        </is>
      </c>
      <c r="D69" s="2" t="inlineStr">
        <is>
          <t>Use case F-05 Forgot Password (Actor: Guest). Allows a user to request password recovery when they cannot remember their current password. The user provides the required identifying information; the system checks the account and then sends the information or link needed to reset the password.
Endpoint cần gọi:
- AUTH-08 POST /api/v1/auth/forgot-password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69" s="2" t="inlineStr">
        <is>
          <t>Đức</t>
        </is>
      </c>
      <c r="F69" s="2" t="inlineStr">
        <is>
          <t>ANGI Sprint 1</t>
        </is>
      </c>
      <c r="G69" s="2" t="inlineStr">
        <is>
          <t>EP-AUTH</t>
        </is>
      </c>
      <c r="H69" s="2" t="n">
        <v>1</v>
      </c>
      <c r="I69" s="2" t="inlineStr">
        <is>
          <t>19/10/2026</t>
        </is>
      </c>
      <c r="J69" s="2" t="inlineStr">
        <is>
          <t>19/10/2026</t>
        </is>
      </c>
      <c r="K69" s="2" t="inlineStr">
        <is>
          <t>frontend iteration1</t>
        </is>
      </c>
      <c r="L69" s="2" t="inlineStr">
        <is>
          <t>ANGI-81</t>
        </is>
      </c>
      <c r="M69" s="2" t="inlineStr"/>
      <c r="N69" s="2" t="n">
        <v>2.6</v>
      </c>
      <c r="O69" s="2" t="inlineStr">
        <is>
          <t>Medium</t>
        </is>
      </c>
    </row>
    <row r="70">
      <c r="A70" s="2" t="inlineStr">
        <is>
          <t>T012</t>
        </is>
      </c>
      <c r="B70" s="2" t="inlineStr">
        <is>
          <t>Task</t>
        </is>
      </c>
      <c r="C70" s="2" t="inlineStr">
        <is>
          <t>[FE] F-06 Reset Password</t>
        </is>
      </c>
      <c r="D70" s="2" t="inlineStr">
        <is>
          <t>Use case F-06 Reset Password (Actor: Guest). Allows a user to set a new password through the password recovery process. The system verifies that the reset request is valid, checks the requirements for the new password, and updates the account's credentials.
Endpoint cần gọi:
- AUTH-09 POST /api/v1/auth/reset-password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70" s="2" t="inlineStr">
        <is>
          <t>Đức</t>
        </is>
      </c>
      <c r="F70" s="2" t="inlineStr">
        <is>
          <t>ANGI Sprint 1</t>
        </is>
      </c>
      <c r="G70" s="2" t="inlineStr">
        <is>
          <t>EP-AUTH</t>
        </is>
      </c>
      <c r="H70" s="2" t="n">
        <v>1</v>
      </c>
      <c r="I70" s="2" t="inlineStr">
        <is>
          <t>19/10/2026</t>
        </is>
      </c>
      <c r="J70" s="2" t="inlineStr">
        <is>
          <t>19/10/2026</t>
        </is>
      </c>
      <c r="K70" s="2" t="inlineStr">
        <is>
          <t>frontend iteration1</t>
        </is>
      </c>
      <c r="L70" s="2" t="inlineStr">
        <is>
          <t>ANGI-82</t>
        </is>
      </c>
      <c r="M70" s="2" t="inlineStr"/>
      <c r="N70" s="2" t="n">
        <v>2.3</v>
      </c>
      <c r="O70" s="2" t="inlineStr">
        <is>
          <t>Medium</t>
        </is>
      </c>
    </row>
    <row r="71">
      <c r="A71" s="3" t="inlineStr">
        <is>
          <t>T211</t>
        </is>
      </c>
      <c r="B71" s="3" t="inlineStr">
        <is>
          <t>Task</t>
        </is>
      </c>
      <c r="C71" s="3" t="inlineStr">
        <is>
          <t>Shared service: Mapbox client (IRouteService) cho route theo ngày của roadmap</t>
        </is>
      </c>
      <c r="D71" s="3" t="inlineStr">
        <is>
          <t>[CRITICAL PATH] Task này nằm trên đường găng: dự phòng tối đa 1 ngày. Phải xong đúng Due Date 20/10/2026; trễ 1 ngày thì mốc "Software Package Version 1" (25/10/2026) bị trễ theo.
Ảnh hưởng trực tiếp tới: Code freeze + tích hợp Iteration 1: merge PR vào dev, chạy toàn hệ thống.
Gặp vướng thì báo ngay trong ngày cho Dũng (PM), không đợi họp.
Interface IRouteService ở Application/Common/Interfaces/Services, MapboxRouteService ở Infrastructure/Services (typed HttpClient gọi Mapbox Directions API, 1 lần cho cả ngày, tối đa 25 điểm). Cache IMemoryCache 24 giờ theo profile + tọa độ (điểm xuất phát làm tròn khoảng 100 m); timeout 3 giây, lỗi thì ước lượng đường chim bay × 1,3 và trả isEstimated = true. Tạo tài khoản Mapbox, secret token để ở biến môi trường (Mapbox__AccessToken), public token cho FE. Chi tiết project_architecture.md mục 2 (Map / routing). Dùng cho RM-14 ở F-21 (Iteration 2).</t>
        </is>
      </c>
      <c r="E71" s="3" t="inlineStr">
        <is>
          <t>Hưng</t>
        </is>
      </c>
      <c r="F71" s="3" t="inlineStr">
        <is>
          <t>ANGI Sprint 1</t>
        </is>
      </c>
      <c r="G71" s="3" t="inlineStr">
        <is>
          <t>EP-SETUP</t>
        </is>
      </c>
      <c r="H71" s="3" t="n">
        <v>2</v>
      </c>
      <c r="I71" s="3" t="inlineStr">
        <is>
          <t>19/10/2026</t>
        </is>
      </c>
      <c r="J71" s="3" t="inlineStr">
        <is>
          <t>20/10/2026</t>
        </is>
      </c>
      <c r="K71" s="3" t="inlineStr">
        <is>
          <t>backend critical-path</t>
        </is>
      </c>
      <c r="L71" s="3" t="inlineStr">
        <is>
          <t>ANGI-230</t>
        </is>
      </c>
      <c r="M71" s="3" t="inlineStr">
        <is>
          <t>Có</t>
        </is>
      </c>
      <c r="N71" s="3" t="n">
        <v>1</v>
      </c>
      <c r="O71" s="3" t="inlineStr">
        <is>
          <t>Highest</t>
        </is>
      </c>
    </row>
    <row r="72">
      <c r="A72" s="2" t="inlineStr">
        <is>
          <t>T008</t>
        </is>
      </c>
      <c r="B72" s="2" t="inlineStr">
        <is>
          <t>Task</t>
        </is>
      </c>
      <c r="C72" s="2" t="inlineStr">
        <is>
          <t>[FE] F-04 Login with Google</t>
        </is>
      </c>
      <c r="D72" s="2" t="inlineStr">
        <is>
          <t>Use case F-04 Login with Google (Actor: Guest). Allows a user to log in or register an ANGI account using a Google account. The system verifies the information from Google, finds or creates the corresponding ANGI account, and establishes a login session for the user.
Endpoint cần gọi:
- AUTH-05 POST /api/v1/auth/google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72" s="2" t="inlineStr">
        <is>
          <t>Đức</t>
        </is>
      </c>
      <c r="F72" s="2" t="inlineStr">
        <is>
          <t>ANGI Sprint 1</t>
        </is>
      </c>
      <c r="G72" s="2" t="inlineStr">
        <is>
          <t>EP-AUTH</t>
        </is>
      </c>
      <c r="H72" s="2" t="n">
        <v>2</v>
      </c>
      <c r="I72" s="2" t="inlineStr">
        <is>
          <t>19/10/2026</t>
        </is>
      </c>
      <c r="J72" s="2" t="inlineStr">
        <is>
          <t>20/10/2026</t>
        </is>
      </c>
      <c r="K72" s="2" t="inlineStr">
        <is>
          <t>frontend iteration1</t>
        </is>
      </c>
      <c r="L72" s="2" t="inlineStr">
        <is>
          <t>ANGI-83</t>
        </is>
      </c>
      <c r="M72" s="2" t="inlineStr"/>
      <c r="N72" s="2" t="n">
        <v>1.6</v>
      </c>
      <c r="O72" s="2" t="inlineStr">
        <is>
          <t>Medium</t>
        </is>
      </c>
    </row>
    <row r="73">
      <c r="A73" s="2" t="inlineStr">
        <is>
          <t>T193</t>
        </is>
      </c>
      <c r="B73" s="2" t="inlineStr">
        <is>
          <t>Task</t>
        </is>
      </c>
      <c r="C73" s="2" t="inlineStr">
        <is>
          <t>Deploy staging lần đầu (Render + Vercel) từ nhánh dev</t>
        </is>
      </c>
      <c r="D73" s="2" t="inlineStr">
        <is>
          <t>Dựng sẵn môi trường trên Render (backend, reco, PostgreSQL + pgvector) và Vercel (frontend) từ nhánh dev: biến môi trường, chạy migration khi deploy, CORS, domain. Mục tiêu: lỗi môi trường lộ ra trước code freeze, ngày phát hành Software Package V1 chỉ còn việc deploy lại.</t>
        </is>
      </c>
      <c r="E73" s="2" t="inlineStr">
        <is>
          <t>Dũng</t>
        </is>
      </c>
      <c r="F73" s="2" t="inlineStr">
        <is>
          <t>ANGI Sprint 1</t>
        </is>
      </c>
      <c r="G73" s="2" t="inlineStr">
        <is>
          <t>EP-QA</t>
        </is>
      </c>
      <c r="H73" s="2" t="n">
        <v>2</v>
      </c>
      <c r="I73" s="2" t="inlineStr">
        <is>
          <t>19/10/2026</t>
        </is>
      </c>
      <c r="J73" s="2" t="inlineStr">
        <is>
          <t>20/10/2026</t>
        </is>
      </c>
      <c r="K73" s="2" t="inlineStr">
        <is>
          <t>devops</t>
        </is>
      </c>
      <c r="L73" s="2" t="inlineStr">
        <is>
          <t>ANGI-84</t>
        </is>
      </c>
      <c r="M73" s="2" t="inlineStr"/>
      <c r="N73" s="2" t="n">
        <v>4</v>
      </c>
      <c r="O73" s="2" t="inlineStr">
        <is>
          <t>Medium</t>
        </is>
      </c>
    </row>
    <row r="74">
      <c r="A74" s="3" t="inlineStr">
        <is>
          <t>T036</t>
        </is>
      </c>
      <c r="B74" s="3" t="inlineStr">
        <is>
          <t>Task</t>
        </is>
      </c>
      <c r="C74" s="3" t="inlineStr">
        <is>
          <t>[FE] F-18 Roll Dish</t>
        </is>
      </c>
      <c r="D74" s="3" t="inlineStr">
        <is>
          <t>[CRITICAL PATH] Task này nằm trên đường găng: dự phòng tối đa 1 ngày. Phải xong đúng Due Date 20/10/2026; trễ 1 ngày thì mốc "Software Package Version 1" (25/10/2026) bị trễ theo.
Ảnh hưởng trực tiếp tới: Code freeze + tích hợp Iteration 1: merge PR vào dev, chạy toàn hệ thống.
Cần xong trước khi bắt đầu: Khung Next.js: layout, routing theo role, API client, auth guard, UI kit; Wireframe/mockup các màn hình Iteration 1.
Làm song song với [BE] F-18 Roll Dish (dùng mock data), nối API thật khi BE merge.
Gặp vướng thì báo ngay trong ngày cho Dũng (PM), không đợi họp.
Use case F-18 Roll Dish (Actor: Traveler). Allows a Traveler to ask the system to randomly pick a dish from the set of suitable or supported dishes. The system selects a dish and shows the information needed for the user to discover a new dish.
Endpoint cần gọi:
- DISH-03 POST /api/v1/dishes/roll
Ghi chú: Roll gần đây: dùng chung bộ chọn vị trí của F-12 (GPS hoặc chấm bản đồ), gửi latitude/longitude/radiusKm; 404 NO_CANDIDATE thì gợi ý nới bán kính.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74" s="3" t="inlineStr">
        <is>
          <t>Đức</t>
        </is>
      </c>
      <c r="F74" s="3" t="inlineStr">
        <is>
          <t>ANGI Sprint 1</t>
        </is>
      </c>
      <c r="G74" s="3" t="inlineStr">
        <is>
          <t>EP-DISC</t>
        </is>
      </c>
      <c r="H74" s="3" t="n">
        <v>3</v>
      </c>
      <c r="I74" s="3" t="inlineStr">
        <is>
          <t>20/10/2026</t>
        </is>
      </c>
      <c r="J74" s="3" t="inlineStr">
        <is>
          <t>20/10/2026</t>
        </is>
      </c>
      <c r="K74" s="3" t="inlineStr">
        <is>
          <t>frontend iteration1 critical-path</t>
        </is>
      </c>
      <c r="L74" s="3" t="inlineStr">
        <is>
          <t>ANGI-85</t>
        </is>
      </c>
      <c r="M74" s="3" t="inlineStr">
        <is>
          <t>Có</t>
        </is>
      </c>
      <c r="N74" s="3" t="n">
        <v>1</v>
      </c>
      <c r="O74" s="3" t="inlineStr">
        <is>
          <t>Highest</t>
        </is>
      </c>
    </row>
    <row r="75">
      <c r="A75" s="3" t="inlineStr">
        <is>
          <t>T102</t>
        </is>
      </c>
      <c r="B75" s="3" t="inlineStr">
        <is>
          <t>Task</t>
        </is>
      </c>
      <c r="C75" s="3" t="inlineStr">
        <is>
          <t>[FE] F-51 Submit Menu for Approval</t>
        </is>
      </c>
      <c r="D75" s="3" t="inlineStr">
        <is>
          <t>[CRITICAL PATH] Task này nằm trên đường găng: dự phòng tối đa 1 ngày. Phải xong đúng Due Date 20/10/2026; trễ 1 ngày thì mốc "Software Package Version 1" (25/10/2026) bị trễ theo.
Ảnh hưởng trực tiếp tới: Code freeze + tích hợp Iteration 1: merge PR vào dev, chạy toàn hệ thống.
Cần xong trước khi bắt đầu: Khung Next.js: layout, routing theo role, API client, auth guard, UI kit; Wireframe/mockup các màn hình Iteration 1.
Làm song song với [BE] F-51 Submit Menu for Approval (dùng mock data), nối API thật khi BE merge.
Gặp vướng thì báo ngay trong ngày cho Dũng (PM), không đợi họp.
Use case F-51 Submit Menu for Approval (Actor: Restaurant Owner). Allows a Restaurant Owner to submit completed menu changes to the system for review and approval. The system moves the menu/submission to the pending approval status.
Endpoint cần gọi:
- OWN-17 POST /api/v1/owner/restaurant/menu-submissions/{submissionId}/submit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75" s="3" t="inlineStr">
        <is>
          <t>Tuấn</t>
        </is>
      </c>
      <c r="F75" s="3" t="inlineStr">
        <is>
          <t>ANGI Sprint 1</t>
        </is>
      </c>
      <c r="G75" s="3" t="inlineStr">
        <is>
          <t>EP-REST</t>
        </is>
      </c>
      <c r="H75" s="3" t="n">
        <v>2</v>
      </c>
      <c r="I75" s="3" t="inlineStr">
        <is>
          <t>20/10/2026</t>
        </is>
      </c>
      <c r="J75" s="3" t="inlineStr">
        <is>
          <t>20/10/2026</t>
        </is>
      </c>
      <c r="K75" s="3" t="inlineStr">
        <is>
          <t>frontend iteration1 critical-path</t>
        </is>
      </c>
      <c r="L75" s="3" t="inlineStr">
        <is>
          <t>ANGI-86</t>
        </is>
      </c>
      <c r="M75" s="3" t="inlineStr">
        <is>
          <t>Có</t>
        </is>
      </c>
      <c r="N75" s="3" t="n">
        <v>1</v>
      </c>
      <c r="O75" s="3" t="inlineStr">
        <is>
          <t>Highest</t>
        </is>
      </c>
    </row>
    <row r="76">
      <c r="A76" s="2" t="inlineStr">
        <is>
          <t>T161</t>
        </is>
      </c>
      <c r="B76" s="2" t="inlineStr">
        <is>
          <t>Task</t>
        </is>
      </c>
      <c r="C76" s="2" t="inlineStr">
        <is>
          <t>Unit Testing Report Iteration 1</t>
        </is>
      </c>
      <c r="D76" s="2" t="inlineStr">
        <is>
          <t>Mỗi dev tối thiểu 2 method/module; Trọng tổng hợp.</t>
        </is>
      </c>
      <c r="E76" s="2" t="inlineStr">
        <is>
          <t>Trọng</t>
        </is>
      </c>
      <c r="F76" s="2" t="inlineStr">
        <is>
          <t>ANGI Sprint 1</t>
        </is>
      </c>
      <c r="G76" s="2" t="inlineStr">
        <is>
          <t>EP-DOC</t>
        </is>
      </c>
      <c r="H76" s="2" t="n">
        <v>1</v>
      </c>
      <c r="I76" s="2" t="inlineStr">
        <is>
          <t>20/10/2026</t>
        </is>
      </c>
      <c r="J76" s="2" t="inlineStr">
        <is>
          <t>20/10/2026</t>
        </is>
      </c>
      <c r="K76" s="2" t="inlineStr">
        <is>
          <t>docs</t>
        </is>
      </c>
      <c r="L76" s="2" t="inlineStr">
        <is>
          <t>ANGI-87</t>
        </is>
      </c>
      <c r="M76" s="2" t="inlineStr"/>
      <c r="N76" s="2" t="n">
        <v>54</v>
      </c>
      <c r="O76" s="2" t="inlineStr">
        <is>
          <t>Medium</t>
        </is>
      </c>
    </row>
    <row r="77">
      <c r="A77" s="3" t="inlineStr">
        <is>
          <t>T174</t>
        </is>
      </c>
      <c r="B77" s="3" t="inlineStr">
        <is>
          <t>Task</t>
        </is>
      </c>
      <c r="C77" s="3" t="inlineStr">
        <is>
          <t>Report 5: Integration Test Cases Iteration 1</t>
        </is>
      </c>
      <c r="D77" s="3" t="inlineStr">
        <is>
          <t>[CRITICAL PATH] Task này nằm trên đường găng: dự phòng tối đa 1 ngày. Phải xong đúng Due Date 21/10/2026; trễ 1 ngày thì mốc "Software Package Version 1" (25/10/2026) bị trễ theo.
Ảnh hưởng trực tiếp tới: Report 5: Integration Test Report Iteration 1.
Gặp vướng thì báo ngay trong ngày cho Dũng (PM), không đợi họp.
Viết theo use case Iteration 1 (ANGI_Use_Case_Basic_Descriptions_Ver1.0) và endpoint tương ứng (ANGI_API_Design_Ver1.7).</t>
        </is>
      </c>
      <c r="E77" s="3" t="inlineStr">
        <is>
          <t>Đức</t>
        </is>
      </c>
      <c r="F77" s="3" t="inlineStr">
        <is>
          <t>ANGI Sprint 1</t>
        </is>
      </c>
      <c r="G77" s="3" t="inlineStr">
        <is>
          <t>EP-QA</t>
        </is>
      </c>
      <c r="H77" s="3" t="n">
        <v>2</v>
      </c>
      <c r="I77" s="3" t="inlineStr">
        <is>
          <t>20/10/2026</t>
        </is>
      </c>
      <c r="J77" s="3" t="inlineStr">
        <is>
          <t>21/10/2026</t>
        </is>
      </c>
      <c r="K77" s="3" t="inlineStr">
        <is>
          <t>qa critical-path</t>
        </is>
      </c>
      <c r="L77" s="3" t="inlineStr">
        <is>
          <t>ANGI-88</t>
        </is>
      </c>
      <c r="M77" s="3" t="inlineStr">
        <is>
          <t>Có</t>
        </is>
      </c>
      <c r="N77" s="3" t="n">
        <v>1</v>
      </c>
      <c r="O77" s="3" t="inlineStr">
        <is>
          <t>Highest</t>
        </is>
      </c>
    </row>
    <row r="78">
      <c r="A78" s="3" t="inlineStr">
        <is>
          <t>T171</t>
        </is>
      </c>
      <c r="B78" s="3" t="inlineStr">
        <is>
          <t>Task</t>
        </is>
      </c>
      <c r="C78" s="3" t="inlineStr">
        <is>
          <t>Code freeze + tích hợp Iteration 1: merge PR vào dev, chạy toàn hệ thống</t>
        </is>
      </c>
      <c r="D78" s="3" t="inlineStr">
        <is>
          <t>[CRITICAL PATH] Task này nằm trên đường găng: dự phòng tối đa 1 ngày. Phải xong đúng Due Date 21/10/2026; trễ 1 ngày thì mốc "Software Package Version 1" (25/10/2026) bị trễ theo.
Ảnh hưởng trực tiếp tới: Report 5: Integration Test Report Iteration 1.
Cần xong trước khi bắt đầu: toàn bộ 57 task code (BE, FE, Reco) của ANGI Sprint 1.
Gặp vướng thì báo ngay trong ngày cho Dũng (PM), không đợi họp.
Hết ngày code due mọi PR của iteration phải được review và merge vào dev. Ngày này: merge PR còn lại, khóa dev (chỉ nhận PR fix bug), chạy backend + reco + frontend từ dev, smoke test các luồng chính, gắn tag iteration-1. Sau đó Đức/Trọng chạy integration test; lỗi tìm được tạo issue Bug giao cho người làm feature đó, sửa trước ngày phát hành bản của iteration.</t>
        </is>
      </c>
      <c r="E78" s="3" t="inlineStr">
        <is>
          <t>Dũng</t>
        </is>
      </c>
      <c r="F78" s="3" t="inlineStr">
        <is>
          <t>ANGI Sprint 1</t>
        </is>
      </c>
      <c r="G78" s="3" t="inlineStr">
        <is>
          <t>EP-QA</t>
        </is>
      </c>
      <c r="H78" s="3" t="n">
        <v>2</v>
      </c>
      <c r="I78" s="3" t="inlineStr">
        <is>
          <t>21/10/2026</t>
        </is>
      </c>
      <c r="J78" s="3" t="inlineStr">
        <is>
          <t>21/10/2026</t>
        </is>
      </c>
      <c r="K78" s="3" t="inlineStr">
        <is>
          <t>release critical-path</t>
        </is>
      </c>
      <c r="L78" s="3" t="inlineStr">
        <is>
          <t>ANGI-89</t>
        </is>
      </c>
      <c r="M78" s="3" t="inlineStr">
        <is>
          <t>Có</t>
        </is>
      </c>
      <c r="N78" s="3" t="n">
        <v>1</v>
      </c>
      <c r="O78" s="3" t="inlineStr">
        <is>
          <t>Highest</t>
        </is>
      </c>
    </row>
    <row r="79">
      <c r="A79" s="3" t="inlineStr">
        <is>
          <t>T175</t>
        </is>
      </c>
      <c r="B79" s="3" t="inlineStr">
        <is>
          <t>Task</t>
        </is>
      </c>
      <c r="C79" s="3" t="inlineStr">
        <is>
          <t>Report 5: Integration Test Report Iteration 1</t>
        </is>
      </c>
      <c r="D79" s="3" t="inlineStr">
        <is>
          <t>[CRITICAL PATH] Task này nằm trên đường găng: dự phòng tối đa 1 ngày. Phải xong đúng Due Date 23/10/2026; trễ 1 ngày thì mốc "Software Package Version 1" (25/10/2026) bị trễ theo.
Ảnh hưởng trực tiếp tới: Software Package Version 1 (deploy + release note).
Cần xong trước khi bắt đầu: Code freeze + tích hợp Iteration 1: merge PR vào dev, chạy toàn hệ thống; Report 5: Integration Test Cases Iteration 1.
Gặp vướng thì báo ngay trong ngày cho Dũng (PM), không đợi họp.
Chạy test case trên bản tag iteration-1; lỗi tạo issue Bug.</t>
        </is>
      </c>
      <c r="E79" s="3" t="inlineStr">
        <is>
          <t>Trọng</t>
        </is>
      </c>
      <c r="F79" s="3" t="inlineStr">
        <is>
          <t>ANGI Sprint 1</t>
        </is>
      </c>
      <c r="G79" s="3" t="inlineStr">
        <is>
          <t>EP-QA</t>
        </is>
      </c>
      <c r="H79" s="3" t="n">
        <v>2</v>
      </c>
      <c r="I79" s="3" t="inlineStr">
        <is>
          <t>22/10/2026</t>
        </is>
      </c>
      <c r="J79" s="3" t="inlineStr">
        <is>
          <t>23/10/2026</t>
        </is>
      </c>
      <c r="K79" s="3" t="inlineStr">
        <is>
          <t>qa critical-path</t>
        </is>
      </c>
      <c r="L79" s="3" t="inlineStr">
        <is>
          <t>ANGI-90</t>
        </is>
      </c>
      <c r="M79" s="3" t="inlineStr">
        <is>
          <t>Có</t>
        </is>
      </c>
      <c r="N79" s="3" t="n">
        <v>1</v>
      </c>
      <c r="O79" s="3" t="inlineStr">
        <is>
          <t>Highest</t>
        </is>
      </c>
    </row>
    <row r="80">
      <c r="A80" s="3" t="inlineStr">
        <is>
          <t>T196</t>
        </is>
      </c>
      <c r="B80" s="3" t="inlineStr">
        <is>
          <t>Task</t>
        </is>
      </c>
      <c r="C80" s="3" t="inlineStr">
        <is>
          <t>Fix bug integration test Iteration 1 (backend)</t>
        </is>
      </c>
      <c r="D80" s="3" t="inlineStr">
        <is>
          <t>[CRITICAL PATH] Task này nằm trên đường găng: dự phòng tối đa 1 ngày. Phải xong đúng Due Date 24/10/2026; trễ 1 ngày thì mốc "Software Package Version 1" (25/10/2026) bị trễ theo.
Ảnh hưởng trực tiếp tới: Software Package Version 1 (deploy + release note).
Gặp vướng thì báo ngay trong ngày cho Dũng (PM), không đợi họp.
Sửa các Bug tạo ra từ Integration Test Iteration 1 thuộc phần mình làm, merge vào dev trước ngày phát hành Software Package V1. Không có bug thì đóng task.</t>
        </is>
      </c>
      <c r="E80" s="3" t="inlineStr">
        <is>
          <t>Hưng</t>
        </is>
      </c>
      <c r="F80" s="3" t="inlineStr">
        <is>
          <t>ANGI Sprint 1</t>
        </is>
      </c>
      <c r="G80" s="3" t="inlineStr">
        <is>
          <t>EP-QA</t>
        </is>
      </c>
      <c r="H80" s="3" t="n">
        <v>1</v>
      </c>
      <c r="I80" s="3" t="inlineStr">
        <is>
          <t>22/10/2026</t>
        </is>
      </c>
      <c r="J80" s="3" t="inlineStr">
        <is>
          <t>24/10/2026</t>
        </is>
      </c>
      <c r="K80" s="3" t="inlineStr">
        <is>
          <t>bugfix critical-path</t>
        </is>
      </c>
      <c r="L80" s="3" t="inlineStr">
        <is>
          <t>ANGI-91</t>
        </is>
      </c>
      <c r="M80" s="3" t="inlineStr">
        <is>
          <t>Có</t>
        </is>
      </c>
      <c r="N80" s="3" t="n">
        <v>0</v>
      </c>
      <c r="O80" s="3" t="inlineStr">
        <is>
          <t>Highest</t>
        </is>
      </c>
    </row>
    <row r="81">
      <c r="A81" s="3" t="inlineStr">
        <is>
          <t>T197</t>
        </is>
      </c>
      <c r="B81" s="3" t="inlineStr">
        <is>
          <t>Task</t>
        </is>
      </c>
      <c r="C81" s="3" t="inlineStr">
        <is>
          <t>Fix bug integration test Iteration 1 (backend)</t>
        </is>
      </c>
      <c r="D81" s="3" t="inlineStr">
        <is>
          <t>[CRITICAL PATH] Task này nằm trên đường găng: dự phòng tối đa 1 ngày. Phải xong đúng Due Date 24/10/2026; trễ 1 ngày thì mốc "Software Package Version 1" (25/10/2026) bị trễ theo.
Ảnh hưởng trực tiếp tới: Software Package Version 1 (deploy + release note).
Gặp vướng thì báo ngay trong ngày cho Dũng (PM), không đợi họp.
Sửa các Bug tạo ra từ Integration Test Iteration 1 thuộc phần mình làm, merge vào dev trước ngày phát hành Software Package V1. Không có bug thì đóng task.</t>
        </is>
      </c>
      <c r="E81" s="3" t="inlineStr">
        <is>
          <t>Trọng</t>
        </is>
      </c>
      <c r="F81" s="3" t="inlineStr">
        <is>
          <t>ANGI Sprint 1</t>
        </is>
      </c>
      <c r="G81" s="3" t="inlineStr">
        <is>
          <t>EP-QA</t>
        </is>
      </c>
      <c r="H81" s="3" t="n">
        <v>1</v>
      </c>
      <c r="I81" s="3" t="inlineStr">
        <is>
          <t>22/10/2026</t>
        </is>
      </c>
      <c r="J81" s="3" t="inlineStr">
        <is>
          <t>24/10/2026</t>
        </is>
      </c>
      <c r="K81" s="3" t="inlineStr">
        <is>
          <t>bugfix critical-path</t>
        </is>
      </c>
      <c r="L81" s="3" t="inlineStr">
        <is>
          <t>ANGI-92</t>
        </is>
      </c>
      <c r="M81" s="3" t="inlineStr">
        <is>
          <t>Có</t>
        </is>
      </c>
      <c r="N81" s="3" t="n">
        <v>0</v>
      </c>
      <c r="O81" s="3" t="inlineStr">
        <is>
          <t>Highest</t>
        </is>
      </c>
    </row>
    <row r="82">
      <c r="A82" s="3" t="inlineStr">
        <is>
          <t>T198</t>
        </is>
      </c>
      <c r="B82" s="3" t="inlineStr">
        <is>
          <t>Task</t>
        </is>
      </c>
      <c r="C82" s="3" t="inlineStr">
        <is>
          <t>Fix bug integration test Iteration 1 (frontend)</t>
        </is>
      </c>
      <c r="D82" s="3" t="inlineStr">
        <is>
          <t>[CRITICAL PATH] Task này nằm trên đường găng: dự phòng tối đa 1 ngày. Phải xong đúng Due Date 24/10/2026; trễ 1 ngày thì mốc "Software Package Version 1" (25/10/2026) bị trễ theo.
Ảnh hưởng trực tiếp tới: Software Package Version 1 (deploy + release note).
Gặp vướng thì báo ngay trong ngày cho Dũng (PM), không đợi họp.
Sửa các Bug tạo ra từ Integration Test Iteration 1 thuộc phần mình làm, merge vào dev trước ngày phát hành Software Package V1. Không có bug thì đóng task.</t>
        </is>
      </c>
      <c r="E82" s="3" t="inlineStr">
        <is>
          <t>Tuấn</t>
        </is>
      </c>
      <c r="F82" s="3" t="inlineStr">
        <is>
          <t>ANGI Sprint 1</t>
        </is>
      </c>
      <c r="G82" s="3" t="inlineStr">
        <is>
          <t>EP-QA</t>
        </is>
      </c>
      <c r="H82" s="3" t="n">
        <v>1</v>
      </c>
      <c r="I82" s="3" t="inlineStr">
        <is>
          <t>22/10/2026</t>
        </is>
      </c>
      <c r="J82" s="3" t="inlineStr">
        <is>
          <t>24/10/2026</t>
        </is>
      </c>
      <c r="K82" s="3" t="inlineStr">
        <is>
          <t>bugfix critical-path</t>
        </is>
      </c>
      <c r="L82" s="3" t="inlineStr">
        <is>
          <t>ANGI-93</t>
        </is>
      </c>
      <c r="M82" s="3" t="inlineStr">
        <is>
          <t>Có</t>
        </is>
      </c>
      <c r="N82" s="3" t="n">
        <v>0</v>
      </c>
      <c r="O82" s="3" t="inlineStr">
        <is>
          <t>Highest</t>
        </is>
      </c>
    </row>
    <row r="83">
      <c r="A83" s="3" t="inlineStr">
        <is>
          <t>T199</t>
        </is>
      </c>
      <c r="B83" s="3" t="inlineStr">
        <is>
          <t>Task</t>
        </is>
      </c>
      <c r="C83" s="3" t="inlineStr">
        <is>
          <t>Fix bug integration test Iteration 1 (frontend)</t>
        </is>
      </c>
      <c r="D83" s="3" t="inlineStr">
        <is>
          <t>[CRITICAL PATH] Task này nằm trên đường găng: dự phòng tối đa 1 ngày. Phải xong đúng Due Date 24/10/2026; trễ 1 ngày thì mốc "Software Package Version 1" (25/10/2026) bị trễ theo.
Ảnh hưởng trực tiếp tới: Software Package Version 1 (deploy + release note).
Gặp vướng thì báo ngay trong ngày cho Dũng (PM), không đợi họp.
Sửa các Bug tạo ra từ Integration Test Iteration 1 thuộc phần mình làm, merge vào dev trước ngày phát hành Software Package V1. Không có bug thì đóng task.</t>
        </is>
      </c>
      <c r="E83" s="3" t="inlineStr">
        <is>
          <t>Đức</t>
        </is>
      </c>
      <c r="F83" s="3" t="inlineStr">
        <is>
          <t>ANGI Sprint 1</t>
        </is>
      </c>
      <c r="G83" s="3" t="inlineStr">
        <is>
          <t>EP-QA</t>
        </is>
      </c>
      <c r="H83" s="3" t="n">
        <v>1</v>
      </c>
      <c r="I83" s="3" t="inlineStr">
        <is>
          <t>22/10/2026</t>
        </is>
      </c>
      <c r="J83" s="3" t="inlineStr">
        <is>
          <t>24/10/2026</t>
        </is>
      </c>
      <c r="K83" s="3" t="inlineStr">
        <is>
          <t>bugfix critical-path</t>
        </is>
      </c>
      <c r="L83" s="3" t="inlineStr">
        <is>
          <t>ANGI-94</t>
        </is>
      </c>
      <c r="M83" s="3" t="inlineStr">
        <is>
          <t>Có</t>
        </is>
      </c>
      <c r="N83" s="3" t="n">
        <v>0</v>
      </c>
      <c r="O83" s="3" t="inlineStr">
        <is>
          <t>Highest</t>
        </is>
      </c>
    </row>
    <row r="84">
      <c r="A84" s="3" t="inlineStr">
        <is>
          <t>T200</t>
        </is>
      </c>
      <c r="B84" s="3" t="inlineStr">
        <is>
          <t>Task</t>
        </is>
      </c>
      <c r="C84" s="3" t="inlineStr">
        <is>
          <t>Fix bug integration test Iteration 1 (reco + hạ tầng)</t>
        </is>
      </c>
      <c r="D84" s="3" t="inlineStr">
        <is>
          <t>[CRITICAL PATH] Task này nằm trên đường găng: dự phòng tối đa 1 ngày. Phải xong đúng Due Date 24/10/2026; trễ 1 ngày thì mốc "Software Package Version 1" (25/10/2026) bị trễ theo.
Ảnh hưởng trực tiếp tới: Software Package Version 1 (deploy + release note).
Gặp vướng thì báo ngay trong ngày cho Dũng (PM), không đợi họp.
Sửa các Bug tạo ra từ Integration Test Iteration 1 thuộc phần mình làm, merge vào dev trước ngày phát hành Software Package V1. Không có bug thì đóng task.</t>
        </is>
      </c>
      <c r="E84" s="3" t="inlineStr">
        <is>
          <t>Dũng</t>
        </is>
      </c>
      <c r="F84" s="3" t="inlineStr">
        <is>
          <t>ANGI Sprint 1</t>
        </is>
      </c>
      <c r="G84" s="3" t="inlineStr">
        <is>
          <t>EP-QA</t>
        </is>
      </c>
      <c r="H84" s="3" t="n">
        <v>1</v>
      </c>
      <c r="I84" s="3" t="inlineStr">
        <is>
          <t>22/10/2026</t>
        </is>
      </c>
      <c r="J84" s="3" t="inlineStr">
        <is>
          <t>24/10/2026</t>
        </is>
      </c>
      <c r="K84" s="3" t="inlineStr">
        <is>
          <t>bugfix critical-path</t>
        </is>
      </c>
      <c r="L84" s="3" t="inlineStr">
        <is>
          <t>ANGI-95</t>
        </is>
      </c>
      <c r="M84" s="3" t="inlineStr">
        <is>
          <t>Có</t>
        </is>
      </c>
      <c r="N84" s="3" t="n">
        <v>0</v>
      </c>
      <c r="O84" s="3" t="inlineStr">
        <is>
          <t>Highest</t>
        </is>
      </c>
    </row>
    <row r="85">
      <c r="A85" s="2" t="inlineStr">
        <is>
          <t>T194</t>
        </is>
      </c>
      <c r="B85" s="2" t="inlineStr">
        <is>
          <t>Task</t>
        </is>
      </c>
      <c r="C85" s="2" t="inlineStr">
        <is>
          <t>Wireframe/mockup các màn hình Iteration 2</t>
        </is>
      </c>
      <c r="D85" s="2" t="inlineStr">
        <is>
          <t>Theo các use case Iteration 2 trong ANGI_Use_Case_Basic_Descriptions_Ver1.0 (Roadmap, Feedback &amp; Report, Blog, Notification). Tuấn duyệt phần Roadmap.</t>
        </is>
      </c>
      <c r="E85" s="2" t="inlineStr">
        <is>
          <t>Đức</t>
        </is>
      </c>
      <c r="F85" s="2" t="inlineStr">
        <is>
          <t>ANGI Sprint 1</t>
        </is>
      </c>
      <c r="G85" s="2" t="inlineStr">
        <is>
          <t>EP-SETUP</t>
        </is>
      </c>
      <c r="H85" s="2" t="n">
        <v>3</v>
      </c>
      <c r="I85" s="2" t="inlineStr">
        <is>
          <t>22/10/2026</t>
        </is>
      </c>
      <c r="J85" s="2" t="inlineStr">
        <is>
          <t>25/10/2026</t>
        </is>
      </c>
      <c r="K85" s="2" t="inlineStr">
        <is>
          <t>frontend</t>
        </is>
      </c>
      <c r="L85" s="2" t="inlineStr">
        <is>
          <t>ANGI-96</t>
        </is>
      </c>
      <c r="M85" s="2" t="inlineStr"/>
      <c r="N85" s="2" t="n">
        <v>8.5</v>
      </c>
      <c r="O85" s="2" t="inlineStr">
        <is>
          <t>Medium</t>
        </is>
      </c>
    </row>
    <row r="86">
      <c r="A86" s="2" t="inlineStr">
        <is>
          <t>T162</t>
        </is>
      </c>
      <c r="B86" s="2" t="inlineStr">
        <is>
          <t>Task</t>
        </is>
      </c>
      <c r="C86" s="2" t="inlineStr">
        <is>
          <t>Report 3: SRS v1.1 (Detailed Requirements Iteration 2)</t>
        </is>
      </c>
      <c r="D86" s="2" t="inlineStr">
        <is>
          <t>Cả team cùng viết, mỗi người viết phần module/feature mình làm. Dũng tổng hợp và duyệt cuối.</t>
        </is>
      </c>
      <c r="E86" s="2" t="inlineStr">
        <is>
          <t>Dũng</t>
        </is>
      </c>
      <c r="F86" s="2" t="inlineStr">
        <is>
          <t>ANGI Sprint 1</t>
        </is>
      </c>
      <c r="G86" s="2" t="inlineStr">
        <is>
          <t>EP-DOC</t>
        </is>
      </c>
      <c r="H86" s="2" t="n">
        <v>2</v>
      </c>
      <c r="I86" s="2" t="inlineStr">
        <is>
          <t>23/10/2026</t>
        </is>
      </c>
      <c r="J86" s="2" t="inlineStr">
        <is>
          <t>24/10/2026</t>
        </is>
      </c>
      <c r="K86" s="2" t="inlineStr">
        <is>
          <t>docs</t>
        </is>
      </c>
      <c r="L86" s="2" t="inlineStr">
        <is>
          <t>ANGI-97</t>
        </is>
      </c>
      <c r="M86" s="2" t="inlineStr"/>
      <c r="N86" s="2" t="n">
        <v>50</v>
      </c>
      <c r="O86" s="2" t="inlineStr">
        <is>
          <t>Medium</t>
        </is>
      </c>
    </row>
    <row r="87">
      <c r="A87" s="3" t="inlineStr">
        <is>
          <t>T176</t>
        </is>
      </c>
      <c r="B87" s="3" t="inlineStr">
        <is>
          <t>Task</t>
        </is>
      </c>
      <c r="C87" s="3" t="inlineStr">
        <is>
          <t>Software Package Version 1 (deploy + release note)</t>
        </is>
      </c>
      <c r="D87" s="3" t="inlineStr">
        <is>
          <t>[CRITICAL PATH] Task này nằm trên đường găng: dự phòng tối đa 1 ngày. Phải xong đúng Due Date 25/10/2026; trễ 1 ngày thì đây chính là mốc giao nộp.
Cần xong trước khi bắt đầu: toàn bộ 7 task code (BE, FE, Reco) của ANGI Sprint 1.
Gặp vướng thì báo ngay trong ngày cho Dũng (PM), không đợi họp.
Deploy bản của iteration từ tag iteration-1 lên Render (backend, reco, PostgreSQL) và Vercel (frontend); viết release note liệt kê feature đã xong và lỗi còn tồn.</t>
        </is>
      </c>
      <c r="E87" s="3" t="inlineStr">
        <is>
          <t>Dũng</t>
        </is>
      </c>
      <c r="F87" s="3" t="inlineStr">
        <is>
          <t>ANGI Sprint 1</t>
        </is>
      </c>
      <c r="G87" s="3" t="inlineStr">
        <is>
          <t>EP-QA</t>
        </is>
      </c>
      <c r="H87" s="3" t="n">
        <v>1</v>
      </c>
      <c r="I87" s="3" t="inlineStr">
        <is>
          <t>25/10/2026</t>
        </is>
      </c>
      <c r="J87" s="3" t="inlineStr">
        <is>
          <t>25/10/2026</t>
        </is>
      </c>
      <c r="K87" s="3" t="inlineStr">
        <is>
          <t>release critical-path</t>
        </is>
      </c>
      <c r="L87" s="3" t="inlineStr">
        <is>
          <t>ANGI-98</t>
        </is>
      </c>
      <c r="M87" s="3" t="inlineStr">
        <is>
          <t>Có</t>
        </is>
      </c>
      <c r="N87" s="3" t="n">
        <v>0</v>
      </c>
      <c r="O87" s="3" t="inlineStr">
        <is>
          <t>Highest</t>
        </is>
      </c>
    </row>
    <row r="88">
      <c r="A88" s="2" t="inlineStr">
        <is>
          <t>T017</t>
        </is>
      </c>
      <c r="B88" s="2" t="inlineStr">
        <is>
          <t>Task</t>
        </is>
      </c>
      <c r="C88" s="2" t="inlineStr">
        <is>
          <t>[BE] F-09 View Notifications</t>
        </is>
      </c>
      <c r="D88" s="2" t="inlineStr">
        <is>
          <t>Use case F-09 View Notifications (Actor: Registered User). Allows a Registered User to view the list of notifications related to their account and activities in the system, such as submission review results, social interactions, or roadmap-related events.
Endpoint cần làm:
- NOTI-01 GET /api/v1/me/notifications
- NOTI-02 GET /api/v1/me/notifications/unread-count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88" s="2" t="inlineStr">
        <is>
          <t>Trọng</t>
        </is>
      </c>
      <c r="F88" s="2" t="inlineStr">
        <is>
          <t>ANGI Sprint 2</t>
        </is>
      </c>
      <c r="G88" s="2" t="inlineStr">
        <is>
          <t>EP-NOTI</t>
        </is>
      </c>
      <c r="H88" s="2" t="n">
        <v>2</v>
      </c>
      <c r="I88" s="2" t="inlineStr">
        <is>
          <t>26/10/2026</t>
        </is>
      </c>
      <c r="J88" s="2" t="inlineStr">
        <is>
          <t>26/10/2026</t>
        </is>
      </c>
      <c r="K88" s="2" t="inlineStr">
        <is>
          <t>backend iteration2</t>
        </is>
      </c>
      <c r="L88" s="2" t="inlineStr">
        <is>
          <t>ANGI-99</t>
        </is>
      </c>
      <c r="M88" s="2" t="inlineStr"/>
      <c r="N88" s="2" t="n">
        <v>7.5</v>
      </c>
      <c r="O88" s="2" t="inlineStr">
        <is>
          <t>Medium</t>
        </is>
      </c>
    </row>
    <row r="89">
      <c r="A89" s="2" t="inlineStr">
        <is>
          <t>T018</t>
        </is>
      </c>
      <c r="B89" s="2" t="inlineStr">
        <is>
          <t>Task</t>
        </is>
      </c>
      <c r="C89" s="2" t="inlineStr">
        <is>
          <t>[FE] F-09 View Notifications</t>
        </is>
      </c>
      <c r="D89" s="2" t="inlineStr">
        <is>
          <t>Use case F-09 View Notifications (Actor: Registered User). Allows a Registered User to view the list of notifications related to their account and activities in the system, such as submission review results, social interactions, or roadmap-related events.
Endpoint cần gọi:
- NOTI-01 GET /api/v1/me/notifications
- NOTI-02 GET /api/v1/me/notifications/unread-count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89" s="2" t="inlineStr">
        <is>
          <t>Đức</t>
        </is>
      </c>
      <c r="F89" s="2" t="inlineStr">
        <is>
          <t>ANGI Sprint 2</t>
        </is>
      </c>
      <c r="G89" s="2" t="inlineStr">
        <is>
          <t>EP-NOTI</t>
        </is>
      </c>
      <c r="H89" s="2" t="n">
        <v>2</v>
      </c>
      <c r="I89" s="2" t="inlineStr">
        <is>
          <t>26/10/2026</t>
        </is>
      </c>
      <c r="J89" s="2" t="inlineStr">
        <is>
          <t>26/10/2026</t>
        </is>
      </c>
      <c r="K89" s="2" t="inlineStr">
        <is>
          <t>frontend iteration2</t>
        </is>
      </c>
      <c r="L89" s="2" t="inlineStr">
        <is>
          <t>ANGI-100</t>
        </is>
      </c>
      <c r="M89" s="2" t="inlineStr"/>
      <c r="N89" s="2" t="n">
        <v>9.300000000000001</v>
      </c>
      <c r="O89" s="2" t="inlineStr">
        <is>
          <t>Medium</t>
        </is>
      </c>
    </row>
    <row r="90">
      <c r="A90" s="2" t="inlineStr">
        <is>
          <t>T019</t>
        </is>
      </c>
      <c r="B90" s="2" t="inlineStr">
        <is>
          <t>Task</t>
        </is>
      </c>
      <c r="C90" s="2" t="inlineStr">
        <is>
          <t>[BE] F-10 Mark Notification as Read</t>
        </is>
      </c>
      <c r="D90" s="2" t="inlineStr">
        <is>
          <t>Use case F-10 Mark Notification as Read (Actor: Registered User). Allows a Registered User to mark one or more notifications as read. The system updates the notification status to distinguish read from unread notifications.
Endpoint cần làm:
- NOTI-03 POST /api/v1/me/notifications/read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90" s="2" t="inlineStr">
        <is>
          <t>Trọng</t>
        </is>
      </c>
      <c r="F90" s="2" t="inlineStr">
        <is>
          <t>ANGI Sprint 2</t>
        </is>
      </c>
      <c r="G90" s="2" t="inlineStr">
        <is>
          <t>EP-NOTI</t>
        </is>
      </c>
      <c r="H90" s="2" t="n">
        <v>1</v>
      </c>
      <c r="I90" s="2" t="inlineStr">
        <is>
          <t>26/10/2026</t>
        </is>
      </c>
      <c r="J90" s="2" t="inlineStr">
        <is>
          <t>26/10/2026</t>
        </is>
      </c>
      <c r="K90" s="2" t="inlineStr">
        <is>
          <t>backend iteration2</t>
        </is>
      </c>
      <c r="L90" s="2" t="inlineStr">
        <is>
          <t>ANGI-101</t>
        </is>
      </c>
      <c r="M90" s="2" t="inlineStr"/>
      <c r="N90" s="2" t="n">
        <v>7.3</v>
      </c>
      <c r="O90" s="2" t="inlineStr">
        <is>
          <t>Medium</t>
        </is>
      </c>
    </row>
    <row r="91">
      <c r="A91" s="2" t="inlineStr">
        <is>
          <t>T151</t>
        </is>
      </c>
      <c r="B91" s="2" t="inlineStr">
        <is>
          <t>Task</t>
        </is>
      </c>
      <c r="C91" s="2" t="inlineStr">
        <is>
          <t>Reco P2: Lưu like/dislike vào interaction_events (RECO-04 /feedback)</t>
        </is>
      </c>
      <c r="D91" s="2" t="inlineStr">
        <is>
          <t>Recommendation_System_Design_Ver1.0 mục 5.2.</t>
        </is>
      </c>
      <c r="E91" s="2" t="inlineStr">
        <is>
          <t>Dũng</t>
        </is>
      </c>
      <c r="F91" s="2" t="inlineStr">
        <is>
          <t>ANGI Sprint 2</t>
        </is>
      </c>
      <c r="G91" s="2" t="inlineStr">
        <is>
          <t>EP-RECO</t>
        </is>
      </c>
      <c r="H91" s="2" t="n">
        <v>3</v>
      </c>
      <c r="I91" s="2" t="inlineStr">
        <is>
          <t>26/10/2026</t>
        </is>
      </c>
      <c r="J91" s="2" t="inlineStr">
        <is>
          <t>26/10/2026</t>
        </is>
      </c>
      <c r="K91" s="2" t="inlineStr">
        <is>
          <t>reco</t>
        </is>
      </c>
      <c r="L91" s="2" t="inlineStr">
        <is>
          <t>ANGI-102</t>
        </is>
      </c>
      <c r="M91" s="2" t="inlineStr"/>
      <c r="N91" s="2" t="n">
        <v>6.3</v>
      </c>
      <c r="O91" s="2" t="inlineStr">
        <is>
          <t>Medium</t>
        </is>
      </c>
    </row>
    <row r="92">
      <c r="A92" s="2" t="inlineStr">
        <is>
          <t>T020</t>
        </is>
      </c>
      <c r="B92" s="2" t="inlineStr">
        <is>
          <t>Task</t>
        </is>
      </c>
      <c r="C92" s="2" t="inlineStr">
        <is>
          <t>[FE] F-10 Mark Notification as Read</t>
        </is>
      </c>
      <c r="D92" s="2" t="inlineStr">
        <is>
          <t>Use case F-10 Mark Notification as Read (Actor: Registered User). Allows a Registered User to mark one or more notifications as read. The system updates the notification status to distinguish read from unread notifications.
Endpoint cần gọi:
- NOTI-03 POST /api/v1/me/notifications/read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92" s="2" t="inlineStr">
        <is>
          <t>Đức</t>
        </is>
      </c>
      <c r="F92" s="2" t="inlineStr">
        <is>
          <t>ANGI Sprint 2</t>
        </is>
      </c>
      <c r="G92" s="2" t="inlineStr">
        <is>
          <t>EP-NOTI</t>
        </is>
      </c>
      <c r="H92" s="2" t="n">
        <v>1</v>
      </c>
      <c r="I92" s="2" t="inlineStr">
        <is>
          <t>26/10/2026</t>
        </is>
      </c>
      <c r="J92" s="2" t="inlineStr">
        <is>
          <t>27/10/2026</t>
        </is>
      </c>
      <c r="K92" s="2" t="inlineStr">
        <is>
          <t>frontend iteration2</t>
        </is>
      </c>
      <c r="L92" s="2" t="inlineStr">
        <is>
          <t>ANGI-103</t>
        </is>
      </c>
      <c r="M92" s="2" t="inlineStr"/>
      <c r="N92" s="2" t="n">
        <v>8.9</v>
      </c>
      <c r="O92" s="2" t="inlineStr">
        <is>
          <t>Medium</t>
        </is>
      </c>
    </row>
    <row r="93">
      <c r="A93" s="2" t="inlineStr">
        <is>
          <t>T037</t>
        </is>
      </c>
      <c r="B93" s="2" t="inlineStr">
        <is>
          <t>Task</t>
        </is>
      </c>
      <c r="C93" s="2" t="inlineStr">
        <is>
          <t>[BE] F-19 Plan New Roadmap</t>
        </is>
      </c>
      <c r="D93" s="2" t="inlineStr">
        <is>
          <t>Use case F-19 Plan New Roadmap (Actor: Traveler). Allows a Traveler to create a new food roadmap based on trip information and personal needs. The user provides constraints such as time, budget, and number of days; the system uses this information to create a roadmap of suitable dishes and places.
Endpoint cần làm:
- RM-01 POST /api/v1/roadmaps
- RM-04 PATCH /api/v1/roadmaps/{roadmapId}
Ghi chú: Điểm xuất phát: originMode none | pinned | gps; chỉ pinned lưu originLatitude/Longitude/Label vào roadmaps (CHECK theo Data Dictionary), gps thì app gửi tọa độ mỗi lần gọi RM-10 / RM-14.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93" s="2" t="inlineStr">
        <is>
          <t>Hưng</t>
        </is>
      </c>
      <c r="F93" s="2" t="inlineStr">
        <is>
          <t>ANGI Sprint 2</t>
        </is>
      </c>
      <c r="G93" s="2" t="inlineStr">
        <is>
          <t>EP-ROAD</t>
        </is>
      </c>
      <c r="H93" s="2" t="n">
        <v>6</v>
      </c>
      <c r="I93" s="2" t="inlineStr">
        <is>
          <t>26/10/2026</t>
        </is>
      </c>
      <c r="J93" s="2" t="inlineStr">
        <is>
          <t>27/10/2026</t>
        </is>
      </c>
      <c r="K93" s="2" t="inlineStr">
        <is>
          <t>backend iteration2</t>
        </is>
      </c>
      <c r="L93" s="2" t="inlineStr">
        <is>
          <t>ANGI-104</t>
        </is>
      </c>
      <c r="M93" s="2" t="inlineStr"/>
      <c r="N93" s="2" t="n">
        <v>3.9</v>
      </c>
      <c r="O93" s="2" t="inlineStr">
        <is>
          <t>High</t>
        </is>
      </c>
    </row>
    <row r="94">
      <c r="A94" s="2" t="inlineStr">
        <is>
          <t>T038</t>
        </is>
      </c>
      <c r="B94" s="2" t="inlineStr">
        <is>
          <t>Task</t>
        </is>
      </c>
      <c r="C94" s="2" t="inlineStr">
        <is>
          <t>[FE] F-19 Plan New Roadmap</t>
        </is>
      </c>
      <c r="D94" s="2" t="inlineStr">
        <is>
          <t>Use case F-19 Plan New Roadmap (Actor: Traveler). Allows a Traveler to create a new food roadmap based on trip information and personal needs. The user provides constraints such as time, budget, and number of days; the system uses this information to create a roadmap of suitable dishes and places.
Endpoint cần gọi:
- RM-01 POST /api/v1/roadmaps
- RM-04 PATCH /api/v1/roadmaps/{roadmapId}
Ghi chú: Chọn điểm xuất phát, 3 lựa chọn: chấm trên bản đồ (pinned, kèm nhãn ví dụ tên khách sạn), vị trí hiện tại (gps, gửi tọa độ mỗi lần gọi RM-10 / RM-14), chưa có vị trí (none, chỉ chọn tỉnh). Dùng chung component bản đồ với form đăng ký quán (F-43) và bộ chọn vị trí của Đức.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94" s="2" t="inlineStr">
        <is>
          <t>Tuấn</t>
        </is>
      </c>
      <c r="F94" s="2" t="inlineStr">
        <is>
          <t>ANGI Sprint 2</t>
        </is>
      </c>
      <c r="G94" s="2" t="inlineStr">
        <is>
          <t>EP-ROAD</t>
        </is>
      </c>
      <c r="H94" s="2" t="n">
        <v>7</v>
      </c>
      <c r="I94" s="2" t="inlineStr">
        <is>
          <t>26/10/2026</t>
        </is>
      </c>
      <c r="J94" s="2" t="inlineStr">
        <is>
          <t>27/10/2026</t>
        </is>
      </c>
      <c r="K94" s="2" t="inlineStr">
        <is>
          <t>frontend iteration2</t>
        </is>
      </c>
      <c r="L94" s="2" t="inlineStr">
        <is>
          <t>ANGI-105</t>
        </is>
      </c>
      <c r="M94" s="2" t="inlineStr"/>
      <c r="N94" s="2" t="n">
        <v>8.5</v>
      </c>
      <c r="O94" s="2" t="inlineStr">
        <is>
          <t>High</t>
        </is>
      </c>
    </row>
    <row r="95">
      <c r="A95" s="2" t="inlineStr">
        <is>
          <t>T071</t>
        </is>
      </c>
      <c r="B95" s="2" t="inlineStr">
        <is>
          <t>Task</t>
        </is>
      </c>
      <c r="C95" s="2" t="inlineStr">
        <is>
          <t>[BE] F-36 Write Blog</t>
        </is>
      </c>
      <c r="D95" s="2" t="inlineStr">
        <is>
          <t>Use case F-36 Write Blog (Actor: Traveler). Allows a Traveler to write about their impressions and thoughts on a roadmap they have experienced. The user enters the required content; the system then validates it and saves the post in the appropriate status.
Endpoint cần làm:
- BLOG-04 POST /api/v1/blogs
- MEDIA-01 POST /api/v1/media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95" s="2" t="inlineStr">
        <is>
          <t>Trọng</t>
        </is>
      </c>
      <c r="F95" s="2" t="inlineStr">
        <is>
          <t>ANGI Sprint 2</t>
        </is>
      </c>
      <c r="G95" s="2" t="inlineStr">
        <is>
          <t>EP-BLOG</t>
        </is>
      </c>
      <c r="H95" s="2" t="n">
        <v>3</v>
      </c>
      <c r="I95" s="2" t="inlineStr">
        <is>
          <t>26/10/2026</t>
        </is>
      </c>
      <c r="J95" s="2" t="inlineStr">
        <is>
          <t>27/10/2026</t>
        </is>
      </c>
      <c r="K95" s="2" t="inlineStr">
        <is>
          <t>backend iteration2</t>
        </is>
      </c>
      <c r="L95" s="2" t="inlineStr">
        <is>
          <t>ANGI-106</t>
        </is>
      </c>
      <c r="M95" s="2" t="inlineStr"/>
      <c r="N95" s="2" t="n">
        <v>6</v>
      </c>
      <c r="O95" s="2" t="inlineStr">
        <is>
          <t>Medium</t>
        </is>
      </c>
    </row>
    <row r="96">
      <c r="A96" s="2" t="inlineStr">
        <is>
          <t>T067</t>
        </is>
      </c>
      <c r="B96" s="2" t="inlineStr">
        <is>
          <t>Task</t>
        </is>
      </c>
      <c r="C96" s="2" t="inlineStr">
        <is>
          <t>[BE] F-34 View Public Blog</t>
        </is>
      </c>
      <c r="D96" s="2" t="inlineStr">
        <is>
          <t>Use case F-34 View Public Blog (Actor: Guest, Traveler). Allows a Guest or Traveler to view the list of public blog posts on ANGI. The system shows the posts allowed to be public along with their basic information so users can discover content.
Endpoint cần làm:
- BLOG-01 GET /api/v1/blogs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96" s="2" t="inlineStr">
        <is>
          <t>Trọng</t>
        </is>
      </c>
      <c r="F96" s="2" t="inlineStr">
        <is>
          <t>ANGI Sprint 2</t>
        </is>
      </c>
      <c r="G96" s="2" t="inlineStr">
        <is>
          <t>EP-BLOG</t>
        </is>
      </c>
      <c r="H96" s="2" t="n">
        <v>2</v>
      </c>
      <c r="I96" s="2" t="inlineStr">
        <is>
          <t>27/10/2026</t>
        </is>
      </c>
      <c r="J96" s="2" t="inlineStr">
        <is>
          <t>27/10/2026</t>
        </is>
      </c>
      <c r="K96" s="2" t="inlineStr">
        <is>
          <t>backend iteration2</t>
        </is>
      </c>
      <c r="L96" s="2" t="inlineStr">
        <is>
          <t>ANGI-107</t>
        </is>
      </c>
      <c r="M96" s="2" t="inlineStr"/>
      <c r="N96" s="2" t="n">
        <v>6.1</v>
      </c>
      <c r="O96" s="2" t="inlineStr">
        <is>
          <t>Medium</t>
        </is>
      </c>
    </row>
    <row r="97">
      <c r="A97" s="2" t="inlineStr">
        <is>
          <t>T152</t>
        </is>
      </c>
      <c r="B97" s="2" t="inlineStr">
        <is>
          <t>Task</t>
        </is>
      </c>
      <c r="C97" s="2" t="inlineStr">
        <is>
          <t>Reco P2: Implicit score từ lịch sử tương tác</t>
        </is>
      </c>
      <c r="D97" s="2" t="inlineStr">
        <is>
          <t>Recommendation_System_Design_Ver1.0 mục 3.2. | Làm sau: Reco P2: Lưu like/dislike vào interaction_events (RECO-04 /feedback).</t>
        </is>
      </c>
      <c r="E97" s="2" t="inlineStr">
        <is>
          <t>Dũng</t>
        </is>
      </c>
      <c r="F97" s="2" t="inlineStr">
        <is>
          <t>ANGI Sprint 2</t>
        </is>
      </c>
      <c r="G97" s="2" t="inlineStr">
        <is>
          <t>EP-RECO</t>
        </is>
      </c>
      <c r="H97" s="2" t="n">
        <v>3</v>
      </c>
      <c r="I97" s="2" t="inlineStr">
        <is>
          <t>27/10/2026</t>
        </is>
      </c>
      <c r="J97" s="2" t="inlineStr">
        <is>
          <t>27/10/2026</t>
        </is>
      </c>
      <c r="K97" s="2" t="inlineStr">
        <is>
          <t>reco</t>
        </is>
      </c>
      <c r="L97" s="2" t="inlineStr">
        <is>
          <t>ANGI-108</t>
        </is>
      </c>
      <c r="M97" s="2" t="inlineStr"/>
      <c r="N97" s="2" t="n">
        <v>6.3</v>
      </c>
      <c r="O97" s="2" t="inlineStr">
        <is>
          <t>Medium</t>
        </is>
      </c>
    </row>
    <row r="98">
      <c r="A98" s="2" t="inlineStr">
        <is>
          <t>T039</t>
        </is>
      </c>
      <c r="B98" s="2" t="inlineStr">
        <is>
          <t>Task</t>
        </is>
      </c>
      <c r="C98" s="2" t="inlineStr">
        <is>
          <t>[BE] F-20 View My Roadmap</t>
        </is>
      </c>
      <c r="D98" s="2" t="inlineStr">
        <is>
          <t>Use case F-20 View My Roadmap (Actor: Traveler). Allows a Traveler to view their own roadmaps, including trip information, schedule, dishes, restaurants, and the items arranged for each day.
Endpoint cần làm:
- RM-02 GET /api/v1/roadmaps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98" s="2" t="inlineStr">
        <is>
          <t>Hưng</t>
        </is>
      </c>
      <c r="F98" s="2" t="inlineStr">
        <is>
          <t>ANGI Sprint 2</t>
        </is>
      </c>
      <c r="G98" s="2" t="inlineStr">
        <is>
          <t>EP-ROAD</t>
        </is>
      </c>
      <c r="H98" s="2" t="n">
        <v>2</v>
      </c>
      <c r="I98" s="2" t="inlineStr">
        <is>
          <t>27/10/2026</t>
        </is>
      </c>
      <c r="J98" s="2" t="inlineStr">
        <is>
          <t>28/10/2026</t>
        </is>
      </c>
      <c r="K98" s="2" t="inlineStr">
        <is>
          <t>backend iteration2</t>
        </is>
      </c>
      <c r="L98" s="2" t="inlineStr">
        <is>
          <t>ANGI-109</t>
        </is>
      </c>
      <c r="M98" s="2" t="inlineStr"/>
      <c r="N98" s="2" t="n">
        <v>6</v>
      </c>
      <c r="O98" s="2" t="inlineStr">
        <is>
          <t>Medium</t>
        </is>
      </c>
    </row>
    <row r="99">
      <c r="A99" s="2" t="inlineStr">
        <is>
          <t>T040</t>
        </is>
      </c>
      <c r="B99" s="2" t="inlineStr">
        <is>
          <t>Task</t>
        </is>
      </c>
      <c r="C99" s="2" t="inlineStr">
        <is>
          <t>[FE] F-20 View My Roadmap</t>
        </is>
      </c>
      <c r="D99" s="2" t="inlineStr">
        <is>
          <t>Use case F-20 View My Roadmap (Actor: Traveler). Allows a Traveler to view their own roadmaps, including trip information, schedule, dishes, restaurants, and the items arranged for each day.
Endpoint cần gọi:
- RM-02 GET /api/v1/roadmaps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99" s="2" t="inlineStr">
        <is>
          <t>Tuấn</t>
        </is>
      </c>
      <c r="F99" s="2" t="inlineStr">
        <is>
          <t>ANGI Sprint 2</t>
        </is>
      </c>
      <c r="G99" s="2" t="inlineStr">
        <is>
          <t>EP-ROAD</t>
        </is>
      </c>
      <c r="H99" s="2" t="n">
        <v>2</v>
      </c>
      <c r="I99" s="2" t="inlineStr">
        <is>
          <t>27/10/2026</t>
        </is>
      </c>
      <c r="J99" s="2" t="inlineStr">
        <is>
          <t>28/10/2026</t>
        </is>
      </c>
      <c r="K99" s="2" t="inlineStr">
        <is>
          <t>frontend iteration2</t>
        </is>
      </c>
      <c r="L99" s="2" t="inlineStr">
        <is>
          <t>ANGI-110</t>
        </is>
      </c>
      <c r="M99" s="2" t="inlineStr"/>
      <c r="N99" s="2" t="n">
        <v>8</v>
      </c>
      <c r="O99" s="2" t="inlineStr">
        <is>
          <t>Medium</t>
        </is>
      </c>
    </row>
    <row r="100">
      <c r="A100" s="2" t="inlineStr">
        <is>
          <t>T069</t>
        </is>
      </c>
      <c r="B100" s="2" t="inlineStr">
        <is>
          <t>Task</t>
        </is>
      </c>
      <c r="C100" s="2" t="inlineStr">
        <is>
          <t>[BE] F-35 View Detail Blog</t>
        </is>
      </c>
      <c r="D100" s="2" t="inlineStr">
        <is>
          <t>Use case F-35 View Detail Blog (Actor: Guest, Traveler). Allows a Guest or Traveler to view the full content of a specific blog post, together with related information such as the author and the allowed interactions.
Endpoint cần làm:
- BLOG-02 GET /api/v1/blogs/{blogId}
- BLOG-03 GET /api/v1/blogs/{blogId}/comments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00" s="2" t="inlineStr">
        <is>
          <t>Trọng</t>
        </is>
      </c>
      <c r="F100" s="2" t="inlineStr">
        <is>
          <t>ANGI Sprint 2</t>
        </is>
      </c>
      <c r="G100" s="2" t="inlineStr">
        <is>
          <t>EP-BLOG</t>
        </is>
      </c>
      <c r="H100" s="2" t="n">
        <v>2</v>
      </c>
      <c r="I100" s="2" t="inlineStr">
        <is>
          <t>27/10/2026</t>
        </is>
      </c>
      <c r="J100" s="2" t="inlineStr">
        <is>
          <t>28/10/2026</t>
        </is>
      </c>
      <c r="K100" s="2" t="inlineStr">
        <is>
          <t>backend iteration2</t>
        </is>
      </c>
      <c r="L100" s="2" t="inlineStr">
        <is>
          <t>ANGI-111</t>
        </is>
      </c>
      <c r="M100" s="2" t="inlineStr"/>
      <c r="N100" s="2" t="n">
        <v>5.6</v>
      </c>
      <c r="O100" s="2" t="inlineStr">
        <is>
          <t>Medium</t>
        </is>
      </c>
    </row>
    <row r="101">
      <c r="A101" s="2" t="inlineStr">
        <is>
          <t>T072</t>
        </is>
      </c>
      <c r="B101" s="2" t="inlineStr">
        <is>
          <t>Task</t>
        </is>
      </c>
      <c r="C101" s="2" t="inlineStr">
        <is>
          <t>[FE] F-36 Write Blog</t>
        </is>
      </c>
      <c r="D101" s="2" t="inlineStr">
        <is>
          <t>Use case F-36 Write Blog (Actor: Traveler). Allows a Traveler to write about their impressions and thoughts on a roadmap they have experienced. The user enters the required content; the system then validates it and saves the post in the appropriate status.
Endpoint cần gọi:
- BLOG-04 POST /api/v1/blogs
- MEDIA-01 POST /api/v1/media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01" s="2" t="inlineStr">
        <is>
          <t>Đức</t>
        </is>
      </c>
      <c r="F101" s="2" t="inlineStr">
        <is>
          <t>ANGI Sprint 2</t>
        </is>
      </c>
      <c r="G101" s="2" t="inlineStr">
        <is>
          <t>EP-BLOG</t>
        </is>
      </c>
      <c r="H101" s="2" t="n">
        <v>3</v>
      </c>
      <c r="I101" s="2" t="inlineStr">
        <is>
          <t>27/10/2026</t>
        </is>
      </c>
      <c r="J101" s="2" t="inlineStr">
        <is>
          <t>28/10/2026</t>
        </is>
      </c>
      <c r="K101" s="2" t="inlineStr">
        <is>
          <t>frontend iteration2</t>
        </is>
      </c>
      <c r="L101" s="2" t="inlineStr">
        <is>
          <t>ANGI-112</t>
        </is>
      </c>
      <c r="M101" s="2" t="inlineStr"/>
      <c r="N101" s="2" t="n">
        <v>7.8</v>
      </c>
      <c r="O101" s="2" t="inlineStr">
        <is>
          <t>Medium</t>
        </is>
      </c>
    </row>
    <row r="102">
      <c r="A102" s="2" t="inlineStr">
        <is>
          <t>T163</t>
        </is>
      </c>
      <c r="B102" s="2" t="inlineStr">
        <is>
          <t>Task</t>
        </is>
      </c>
      <c r="C102" s="2" t="inlineStr">
        <is>
          <t>Report 4: SDS v1.2</t>
        </is>
      </c>
      <c r="D102" s="2" t="inlineStr">
        <is>
          <t>Cả team cùng viết, mỗi người viết phần module/feature mình làm. Dũng tổng hợp và duyệt cuối.</t>
        </is>
      </c>
      <c r="E102" s="2" t="inlineStr">
        <is>
          <t>Dũng</t>
        </is>
      </c>
      <c r="F102" s="2" t="inlineStr">
        <is>
          <t>ANGI Sprint 2</t>
        </is>
      </c>
      <c r="G102" s="2" t="inlineStr">
        <is>
          <t>EP-DOC</t>
        </is>
      </c>
      <c r="H102" s="2" t="n">
        <v>2</v>
      </c>
      <c r="I102" s="2" t="inlineStr">
        <is>
          <t>27/10/2026</t>
        </is>
      </c>
      <c r="J102" s="2" t="inlineStr">
        <is>
          <t>28/10/2026</t>
        </is>
      </c>
      <c r="K102" s="2" t="inlineStr">
        <is>
          <t>docs</t>
        </is>
      </c>
      <c r="L102" s="2" t="inlineStr">
        <is>
          <t>ANGI-113</t>
        </is>
      </c>
      <c r="M102" s="2" t="inlineStr"/>
      <c r="N102" s="2" t="n">
        <v>46</v>
      </c>
      <c r="O102" s="2" t="inlineStr">
        <is>
          <t>Medium</t>
        </is>
      </c>
    </row>
    <row r="103">
      <c r="A103" s="2" t="inlineStr">
        <is>
          <t>T041</t>
        </is>
      </c>
      <c r="B103" s="2" t="inlineStr">
        <is>
          <t>Task</t>
        </is>
      </c>
      <c r="C103" s="2" t="inlineStr">
        <is>
          <t>[BE] F-21 View My Roadmap Detail</t>
        </is>
      </c>
      <c r="D103" s="2" t="inlineStr">
        <is>
          <t>Use case F-21 View My Roadmap Detail (Actor: Traveler). Allows a Traveler to view the general information of a roadmap, including Overview, Itinerary, and Budget.
Endpoint cần làm:
- RM-03 GET /api/v1/roadmaps/{roadmapId}
- RM-14 GET /api/v1/roadmaps/{roadmapId}/days/{dayId}/route
Ghi chú: RM-14 (route theo ngày): thứ tự điểm = item theo bữa rồi sortOrder; điểm xuất phát = GPS gửi kèm, không thì điểm pinned, none thì không có chặng đầu; bỏ chặng đầu khi cách item 1 quá 30 km (originSkipped). Gọi IRouteService (task Shared service: Mapbox client), không lưu DB.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03" s="2" t="inlineStr">
        <is>
          <t>Hưng</t>
        </is>
      </c>
      <c r="F103" s="2" t="inlineStr">
        <is>
          <t>ANGI Sprint 2</t>
        </is>
      </c>
      <c r="G103" s="2" t="inlineStr">
        <is>
          <t>EP-ROAD</t>
        </is>
      </c>
      <c r="H103" s="2" t="n">
        <v>4</v>
      </c>
      <c r="I103" s="2" t="inlineStr">
        <is>
          <t>28/10/2026</t>
        </is>
      </c>
      <c r="J103" s="2" t="inlineStr">
        <is>
          <t>28/10/2026</t>
        </is>
      </c>
      <c r="K103" s="2" t="inlineStr">
        <is>
          <t>backend iteration2</t>
        </is>
      </c>
      <c r="L103" s="2" t="inlineStr">
        <is>
          <t>ANGI-114</t>
        </is>
      </c>
      <c r="M103" s="2" t="inlineStr"/>
      <c r="N103" s="2" t="n">
        <v>5.1</v>
      </c>
      <c r="O103" s="2" t="inlineStr">
        <is>
          <t>Medium</t>
        </is>
      </c>
    </row>
    <row r="104">
      <c r="A104" s="2" t="inlineStr">
        <is>
          <t>T042</t>
        </is>
      </c>
      <c r="B104" s="2" t="inlineStr">
        <is>
          <t>Task</t>
        </is>
      </c>
      <c r="C104" s="2" t="inlineStr">
        <is>
          <t>[FE] F-21 View My Roadmap Detail</t>
        </is>
      </c>
      <c r="D104" s="2" t="inlineStr">
        <is>
          <t>Use case F-21 View My Roadmap Detail (Actor: Traveler). Allows a Traveler to view the general information of a roadmap, including Overview, Itinerary, and Budget.
Endpoint cần gọi:
- RM-03 GET /api/v1/roadmaps/{roadmapId}
- RM-14 GET /api/v1/roadmaps/{roadmapId}/days/{dayId}/route
Ghi chú: Mỗi ngày gọi RM-14: hiện từng chặng (điểm xuất phát → quán 1 → quán 2 ...) với km, phút, tổng ngày; isEstimated = true thì ghi "ước tính"; none hoặc originSkipped thì không có chặng đầu. Nút Mở trên Google Maps mỗi ngày: tự tạo link google.com/maps/dir/?api=1&amp;origin=...&amp;destination=...&amp;waypoints=... theo thứ tự item (bỏ origin khi none), không gọi backend.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04" s="2" t="inlineStr">
        <is>
          <t>Tuấn</t>
        </is>
      </c>
      <c r="F104" s="2" t="inlineStr">
        <is>
          <t>ANGI Sprint 2</t>
        </is>
      </c>
      <c r="G104" s="2" t="inlineStr">
        <is>
          <t>EP-ROAD</t>
        </is>
      </c>
      <c r="H104" s="2" t="n">
        <v>5</v>
      </c>
      <c r="I104" s="2" t="inlineStr">
        <is>
          <t>28/10/2026</t>
        </is>
      </c>
      <c r="J104" s="2" t="inlineStr">
        <is>
          <t>28/10/2026</t>
        </is>
      </c>
      <c r="K104" s="2" t="inlineStr">
        <is>
          <t>frontend iteration2</t>
        </is>
      </c>
      <c r="L104" s="2" t="inlineStr">
        <is>
          <t>ANGI-115</t>
        </is>
      </c>
      <c r="M104" s="2" t="inlineStr"/>
      <c r="N104" s="2" t="n">
        <v>7.1</v>
      </c>
      <c r="O104" s="2" t="inlineStr">
        <is>
          <t>High</t>
        </is>
      </c>
    </row>
    <row r="105">
      <c r="A105" s="2" t="inlineStr">
        <is>
          <t>T068</t>
        </is>
      </c>
      <c r="B105" s="2" t="inlineStr">
        <is>
          <t>Task</t>
        </is>
      </c>
      <c r="C105" s="2" t="inlineStr">
        <is>
          <t>[FE] F-34 View Public Blog</t>
        </is>
      </c>
      <c r="D105" s="2" t="inlineStr">
        <is>
          <t>Use case F-34 View Public Blog (Actor: Guest, Traveler). Allows a Guest or Traveler to view the list of public blog posts on ANGI. The system shows the posts allowed to be public along with their basic information so users can discover content.
Endpoint cần gọi:
- BLOG-01 GET /api/v1/blogs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05" s="2" t="inlineStr">
        <is>
          <t>Đức</t>
        </is>
      </c>
      <c r="F105" s="2" t="inlineStr">
        <is>
          <t>ANGI Sprint 2</t>
        </is>
      </c>
      <c r="G105" s="2" t="inlineStr">
        <is>
          <t>EP-BLOG</t>
        </is>
      </c>
      <c r="H105" s="2" t="n">
        <v>2</v>
      </c>
      <c r="I105" s="2" t="inlineStr">
        <is>
          <t>28/10/2026</t>
        </is>
      </c>
      <c r="J105" s="2" t="inlineStr">
        <is>
          <t>28/10/2026</t>
        </is>
      </c>
      <c r="K105" s="2" t="inlineStr">
        <is>
          <t>frontend iteration2</t>
        </is>
      </c>
      <c r="L105" s="2" t="inlineStr">
        <is>
          <t>ANGI-116</t>
        </is>
      </c>
      <c r="M105" s="2" t="inlineStr"/>
      <c r="N105" s="2" t="n">
        <v>7.1</v>
      </c>
      <c r="O105" s="2" t="inlineStr">
        <is>
          <t>Medium</t>
        </is>
      </c>
    </row>
    <row r="106">
      <c r="A106" s="2" t="inlineStr">
        <is>
          <t>T073</t>
        </is>
      </c>
      <c r="B106" s="2" t="inlineStr">
        <is>
          <t>Task</t>
        </is>
      </c>
      <c r="C106" s="2" t="inlineStr">
        <is>
          <t>[BE] F-37 View My Blog</t>
        </is>
      </c>
      <c r="D106" s="2" t="inlineStr">
        <is>
          <t>Use case F-37 View My Blog (Actor: Traveler). Allows a Traveler to view the list of blog posts they have created, including the status and basic information of each post.
Endpoint cần làm:
- BLOG-05 GET /api/v1/me/blogs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06" s="2" t="inlineStr">
        <is>
          <t>Trọng</t>
        </is>
      </c>
      <c r="F106" s="2" t="inlineStr">
        <is>
          <t>ANGI Sprint 2</t>
        </is>
      </c>
      <c r="G106" s="2" t="inlineStr">
        <is>
          <t>EP-BLOG</t>
        </is>
      </c>
      <c r="H106" s="2" t="n">
        <v>2</v>
      </c>
      <c r="I106" s="2" t="inlineStr">
        <is>
          <t>28/10/2026</t>
        </is>
      </c>
      <c r="J106" s="2" t="inlineStr">
        <is>
          <t>28/10/2026</t>
        </is>
      </c>
      <c r="K106" s="2" t="inlineStr">
        <is>
          <t>backend iteration2</t>
        </is>
      </c>
      <c r="L106" s="2" t="inlineStr">
        <is>
          <t>ANGI-117</t>
        </is>
      </c>
      <c r="M106" s="2" t="inlineStr"/>
      <c r="N106" s="2" t="n">
        <v>5.1</v>
      </c>
      <c r="O106" s="2" t="inlineStr">
        <is>
          <t>Medium</t>
        </is>
      </c>
    </row>
    <row r="107">
      <c r="A107" s="2" t="inlineStr">
        <is>
          <t>T043</t>
        </is>
      </c>
      <c r="B107" s="2" t="inlineStr">
        <is>
          <t>Task</t>
        </is>
      </c>
      <c r="C107" s="2" t="inlineStr">
        <is>
          <t>[BE] F-22 Delete My Roadmap</t>
        </is>
      </c>
      <c r="D107" s="2" t="inlineStr">
        <is>
          <t>Use case F-22 Delete My Roadmap (Actor: Traveler). Allows a Traveler to delete their roadmap. The system asks for confirmation if needed and removes the roadmap from the My Roadmap list without affecting other roadmaps.
Endpoint cần làm:
- RM-05 DELETE /api/v1/roadmaps/{roadmapId}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07" s="2" t="inlineStr">
        <is>
          <t>Hưng</t>
        </is>
      </c>
      <c r="F107" s="2" t="inlineStr">
        <is>
          <t>ANGI Sprint 2</t>
        </is>
      </c>
      <c r="G107" s="2" t="inlineStr">
        <is>
          <t>EP-ROAD</t>
        </is>
      </c>
      <c r="H107" s="2" t="n">
        <v>1</v>
      </c>
      <c r="I107" s="2" t="inlineStr">
        <is>
          <t>28/10/2026</t>
        </is>
      </c>
      <c r="J107" s="2" t="inlineStr">
        <is>
          <t>29/10/2026</t>
        </is>
      </c>
      <c r="K107" s="2" t="inlineStr">
        <is>
          <t>backend iteration2</t>
        </is>
      </c>
      <c r="L107" s="2" t="inlineStr">
        <is>
          <t>ANGI-118</t>
        </is>
      </c>
      <c r="M107" s="2" t="inlineStr"/>
      <c r="N107" s="2" t="n">
        <v>4.8</v>
      </c>
      <c r="O107" s="2" t="inlineStr">
        <is>
          <t>Medium</t>
        </is>
      </c>
    </row>
    <row r="108">
      <c r="A108" s="2" t="inlineStr">
        <is>
          <t>T044</t>
        </is>
      </c>
      <c r="B108" s="2" t="inlineStr">
        <is>
          <t>Task</t>
        </is>
      </c>
      <c r="C108" s="2" t="inlineStr">
        <is>
          <t>[FE] F-22 Delete My Roadmap</t>
        </is>
      </c>
      <c r="D108" s="2" t="inlineStr">
        <is>
          <t>Use case F-22 Delete My Roadmap (Actor: Traveler). Allows a Traveler to delete their roadmap. The system asks for confirmation if needed and removes the roadmap from the My Roadmap list without affecting other roadmaps.
Endpoint cần gọi:
- RM-05 DELETE /api/v1/roadmaps/{roadmapId}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08" s="2" t="inlineStr">
        <is>
          <t>Tuấn</t>
        </is>
      </c>
      <c r="F108" s="2" t="inlineStr">
        <is>
          <t>ANGI Sprint 2</t>
        </is>
      </c>
      <c r="G108" s="2" t="inlineStr">
        <is>
          <t>EP-ROAD</t>
        </is>
      </c>
      <c r="H108" s="2" t="n">
        <v>1</v>
      </c>
      <c r="I108" s="2" t="inlineStr">
        <is>
          <t>28/10/2026</t>
        </is>
      </c>
      <c r="J108" s="2" t="inlineStr">
        <is>
          <t>29/10/2026</t>
        </is>
      </c>
      <c r="K108" s="2" t="inlineStr">
        <is>
          <t>frontend iteration2</t>
        </is>
      </c>
      <c r="L108" s="2" t="inlineStr">
        <is>
          <t>ANGI-119</t>
        </is>
      </c>
      <c r="M108" s="2" t="inlineStr"/>
      <c r="N108" s="2" t="n">
        <v>6.8</v>
      </c>
      <c r="O108" s="2" t="inlineStr">
        <is>
          <t>Medium</t>
        </is>
      </c>
    </row>
    <row r="109">
      <c r="A109" s="2" t="inlineStr">
        <is>
          <t>T070</t>
        </is>
      </c>
      <c r="B109" s="2" t="inlineStr">
        <is>
          <t>Task</t>
        </is>
      </c>
      <c r="C109" s="2" t="inlineStr">
        <is>
          <t>[FE] F-35 View Detail Blog</t>
        </is>
      </c>
      <c r="D109" s="2" t="inlineStr">
        <is>
          <t>Use case F-35 View Detail Blog (Actor: Guest, Traveler). Allows a Guest or Traveler to view the full content of a specific blog post, together with related information such as the author and the allowed interactions.
Endpoint cần gọi:
- BLOG-02 GET /api/v1/blogs/{blogId}
- BLOG-03 GET /api/v1/blogs/{blogId}/comments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09" s="2" t="inlineStr">
        <is>
          <t>Đức</t>
        </is>
      </c>
      <c r="F109" s="2" t="inlineStr">
        <is>
          <t>ANGI Sprint 2</t>
        </is>
      </c>
      <c r="G109" s="2" t="inlineStr">
        <is>
          <t>EP-BLOG</t>
        </is>
      </c>
      <c r="H109" s="2" t="n">
        <v>2</v>
      </c>
      <c r="I109" s="2" t="inlineStr">
        <is>
          <t>28/10/2026</t>
        </is>
      </c>
      <c r="J109" s="2" t="inlineStr">
        <is>
          <t>29/10/2026</t>
        </is>
      </c>
      <c r="K109" s="2" t="inlineStr">
        <is>
          <t>frontend iteration2</t>
        </is>
      </c>
      <c r="L109" s="2" t="inlineStr">
        <is>
          <t>ANGI-120</t>
        </is>
      </c>
      <c r="M109" s="2" t="inlineStr"/>
      <c r="N109" s="2" t="n">
        <v>6.4</v>
      </c>
      <c r="O109" s="2" t="inlineStr">
        <is>
          <t>Medium</t>
        </is>
      </c>
    </row>
    <row r="110">
      <c r="A110" s="2" t="inlineStr">
        <is>
          <t>T075</t>
        </is>
      </c>
      <c r="B110" s="2" t="inlineStr">
        <is>
          <t>Task</t>
        </is>
      </c>
      <c r="C110" s="2" t="inlineStr">
        <is>
          <t>[BE] F-38 Edit Blog</t>
        </is>
      </c>
      <c r="D110" s="2" t="inlineStr">
        <is>
          <t>Use case F-38 Edit Blog (Actor: Traveler). Allows a Traveler to edit the content and basic information of a blog post they created.
Endpoint cần làm:
- BLOG-06 PATCH /api/v1/blogs/{blogId}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10" s="2" t="inlineStr">
        <is>
          <t>Trọng</t>
        </is>
      </c>
      <c r="F110" s="2" t="inlineStr">
        <is>
          <t>ANGI Sprint 2</t>
        </is>
      </c>
      <c r="G110" s="2" t="inlineStr">
        <is>
          <t>EP-BLOG</t>
        </is>
      </c>
      <c r="H110" s="2" t="n">
        <v>2</v>
      </c>
      <c r="I110" s="2" t="inlineStr">
        <is>
          <t>28/10/2026</t>
        </is>
      </c>
      <c r="J110" s="2" t="inlineStr">
        <is>
          <t>29/10/2026</t>
        </is>
      </c>
      <c r="K110" s="2" t="inlineStr">
        <is>
          <t>backend iteration2</t>
        </is>
      </c>
      <c r="L110" s="2" t="inlineStr">
        <is>
          <t>ANGI-121</t>
        </is>
      </c>
      <c r="M110" s="2" t="inlineStr"/>
      <c r="N110" s="2" t="n">
        <v>4.6</v>
      </c>
      <c r="O110" s="2" t="inlineStr">
        <is>
          <t>Medium</t>
        </is>
      </c>
    </row>
    <row r="111">
      <c r="A111" s="2" t="inlineStr">
        <is>
          <t>T153</t>
        </is>
      </c>
      <c r="B111" s="2" t="inlineStr">
        <is>
          <t>Task</t>
        </is>
      </c>
      <c r="C111" s="2" t="inlineStr">
        <is>
          <t>Reco P2: Personalized score + Community score + Final score</t>
        </is>
      </c>
      <c r="D111" s="2" t="inlineStr">
        <is>
          <t>Recommendation_System_Design_Ver1.0 mục 3.2–3.3. Deliverable: Personalized Score + Final Score. | Làm sau: Reco P2: Implicit score từ lịch sử tương tác.</t>
        </is>
      </c>
      <c r="E111" s="2" t="inlineStr">
        <is>
          <t>Dũng</t>
        </is>
      </c>
      <c r="F111" s="2" t="inlineStr">
        <is>
          <t>ANGI Sprint 2</t>
        </is>
      </c>
      <c r="G111" s="2" t="inlineStr">
        <is>
          <t>EP-RECO</t>
        </is>
      </c>
      <c r="H111" s="2" t="n">
        <v>5</v>
      </c>
      <c r="I111" s="2" t="inlineStr">
        <is>
          <t>28/10/2026</t>
        </is>
      </c>
      <c r="J111" s="2" t="inlineStr">
        <is>
          <t>29/10/2026</t>
        </is>
      </c>
      <c r="K111" s="2" t="inlineStr">
        <is>
          <t>reco</t>
        </is>
      </c>
      <c r="L111" s="2" t="inlineStr">
        <is>
          <t>ANGI-122</t>
        </is>
      </c>
      <c r="M111" s="2" t="inlineStr"/>
      <c r="N111" s="2" t="n">
        <v>6.3</v>
      </c>
      <c r="O111" s="2" t="inlineStr">
        <is>
          <t>High</t>
        </is>
      </c>
    </row>
    <row r="112">
      <c r="A112" s="2" t="inlineStr">
        <is>
          <t>T077</t>
        </is>
      </c>
      <c r="B112" s="2" t="inlineStr">
        <is>
          <t>Task</t>
        </is>
      </c>
      <c r="C112" s="2" t="inlineStr">
        <is>
          <t>[BE] F-39 Delete Blog</t>
        </is>
      </c>
      <c r="D112" s="2" t="inlineStr">
        <is>
          <t>Use case F-39 Delete Blog (Actor: Traveler). Allows a Traveler to delete a blog post they created.
Endpoint cần làm:
- BLOG-07 DELETE /api/v1/blogs/{blogId}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12" s="2" t="inlineStr">
        <is>
          <t>Trọng</t>
        </is>
      </c>
      <c r="F112" s="2" t="inlineStr">
        <is>
          <t>ANGI Sprint 2</t>
        </is>
      </c>
      <c r="G112" s="2" t="inlineStr">
        <is>
          <t>EP-BLOG</t>
        </is>
      </c>
      <c r="H112" s="2" t="n">
        <v>1</v>
      </c>
      <c r="I112" s="2" t="inlineStr">
        <is>
          <t>29/10/2026</t>
        </is>
      </c>
      <c r="J112" s="2" t="inlineStr">
        <is>
          <t>29/10/2026</t>
        </is>
      </c>
      <c r="K112" s="2" t="inlineStr">
        <is>
          <t>backend iteration2</t>
        </is>
      </c>
      <c r="L112" s="2" t="inlineStr">
        <is>
          <t>ANGI-123</t>
        </is>
      </c>
      <c r="M112" s="2" t="inlineStr"/>
      <c r="N112" s="2" t="n">
        <v>4.4</v>
      </c>
      <c r="O112" s="2" t="inlineStr">
        <is>
          <t>Medium</t>
        </is>
      </c>
    </row>
    <row r="113">
      <c r="A113" s="2" t="inlineStr">
        <is>
          <t>T049</t>
        </is>
      </c>
      <c r="B113" s="2" t="inlineStr">
        <is>
          <t>Task</t>
        </is>
      </c>
      <c r="C113" s="2" t="inlineStr">
        <is>
          <t>[BE] F-25 Add Dish and Place</t>
        </is>
      </c>
      <c r="D113" s="2" t="inlineStr">
        <is>
          <t>Use case F-25 Add Dish and Place (Actor: Traveler). Allows a Traveler to browse the system's recommended list of dishes with their corresponding places and select a dish and place. The system validates the item and adds it to the corresponding day or position in the roadmap.
Endpoint cần làm:
- RM-06 GET /api/v1/roadmaps/{roadmapId}/suggestions
- RM-07 POST /api/v1/roadmaps/{roadmapId}/days/{dayId}/items
Ghi chú: RM-06 lọc bán kính: lat/lng gửi lên nếu có, không thì điểm pinned của roadmap; radiusKm mặc định 10; dùng helper lọc quán gần của F-12.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13" s="2" t="inlineStr">
        <is>
          <t>Hưng</t>
        </is>
      </c>
      <c r="F113" s="2" t="inlineStr">
        <is>
          <t>ANGI Sprint 2</t>
        </is>
      </c>
      <c r="G113" s="2" t="inlineStr">
        <is>
          <t>EP-ROAD</t>
        </is>
      </c>
      <c r="H113" s="2" t="n">
        <v>3</v>
      </c>
      <c r="I113" s="2" t="inlineStr">
        <is>
          <t>29/10/2026</t>
        </is>
      </c>
      <c r="J113" s="2" t="inlineStr">
        <is>
          <t>30/10/2026</t>
        </is>
      </c>
      <c r="K113" s="2" t="inlineStr">
        <is>
          <t>backend iteration2</t>
        </is>
      </c>
      <c r="L113" s="2" t="inlineStr">
        <is>
          <t>ANGI-124</t>
        </is>
      </c>
      <c r="M113" s="2" t="inlineStr"/>
      <c r="N113" s="2" t="n">
        <v>3.3</v>
      </c>
      <c r="O113" s="2" t="inlineStr">
        <is>
          <t>Medium</t>
        </is>
      </c>
    </row>
    <row r="114">
      <c r="A114" s="2" t="inlineStr">
        <is>
          <t>T050</t>
        </is>
      </c>
      <c r="B114" s="2" t="inlineStr">
        <is>
          <t>Task</t>
        </is>
      </c>
      <c r="C114" s="2" t="inlineStr">
        <is>
          <t>[FE] F-25 Add Dish and Place</t>
        </is>
      </c>
      <c r="D114" s="2" t="inlineStr">
        <is>
          <t>Use case F-25 Add Dish and Place (Actor: Traveler). Allows a Traveler to browse the system's recommended list of dishes with their corresponding places and select a dish and place. The system validates the item and adds it to the corresponding day or position in the roadmap.
Endpoint cần gọi:
- RM-06 GET /api/v1/roadmaps/{roadmapId}/suggestions
- RM-07 POST /api/v1/roadmaps/{roadmapId}/days/{dayId}/items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14" s="2" t="inlineStr">
        <is>
          <t>Tuấn</t>
        </is>
      </c>
      <c r="F114" s="2" t="inlineStr">
        <is>
          <t>ANGI Sprint 2</t>
        </is>
      </c>
      <c r="G114" s="2" t="inlineStr">
        <is>
          <t>EP-ROAD</t>
        </is>
      </c>
      <c r="H114" s="2" t="n">
        <v>3</v>
      </c>
      <c r="I114" s="2" t="inlineStr">
        <is>
          <t>29/10/2026</t>
        </is>
      </c>
      <c r="J114" s="2" t="inlineStr">
        <is>
          <t>30/10/2026</t>
        </is>
      </c>
      <c r="K114" s="2" t="inlineStr">
        <is>
          <t>frontend iteration2</t>
        </is>
      </c>
      <c r="L114" s="2" t="inlineStr">
        <is>
          <t>ANGI-125</t>
        </is>
      </c>
      <c r="M114" s="2" t="inlineStr"/>
      <c r="N114" s="2" t="n">
        <v>5.9</v>
      </c>
      <c r="O114" s="2" t="inlineStr">
        <is>
          <t>Medium</t>
        </is>
      </c>
    </row>
    <row r="115">
      <c r="A115" s="2" t="inlineStr">
        <is>
          <t>T074</t>
        </is>
      </c>
      <c r="B115" s="2" t="inlineStr">
        <is>
          <t>Task</t>
        </is>
      </c>
      <c r="C115" s="2" t="inlineStr">
        <is>
          <t>[FE] F-37 View My Blog</t>
        </is>
      </c>
      <c r="D115" s="2" t="inlineStr">
        <is>
          <t>Use case F-37 View My Blog (Actor: Traveler). Allows a Traveler to view the list of blog posts they have created, including the status and basic information of each post.
Endpoint cần gọi:
- BLOG-05 GET /api/v1/me/blogs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15" s="2" t="inlineStr">
        <is>
          <t>Đức</t>
        </is>
      </c>
      <c r="F115" s="2" t="inlineStr">
        <is>
          <t>ANGI Sprint 2</t>
        </is>
      </c>
      <c r="G115" s="2" t="inlineStr">
        <is>
          <t>EP-BLOG</t>
        </is>
      </c>
      <c r="H115" s="2" t="n">
        <v>2</v>
      </c>
      <c r="I115" s="2" t="inlineStr">
        <is>
          <t>29/10/2026</t>
        </is>
      </c>
      <c r="J115" s="2" t="inlineStr">
        <is>
          <t>30/10/2026</t>
        </is>
      </c>
      <c r="K115" s="2" t="inlineStr">
        <is>
          <t>frontend iteration2</t>
        </is>
      </c>
      <c r="L115" s="2" t="inlineStr">
        <is>
          <t>ANGI-126</t>
        </is>
      </c>
      <c r="M115" s="2" t="inlineStr"/>
      <c r="N115" s="2" t="n">
        <v>5.7</v>
      </c>
      <c r="O115" s="2" t="inlineStr">
        <is>
          <t>Medium</t>
        </is>
      </c>
    </row>
    <row r="116">
      <c r="A116" s="2" t="inlineStr">
        <is>
          <t>T079</t>
        </is>
      </c>
      <c r="B116" s="2" t="inlineStr">
        <is>
          <t>Task</t>
        </is>
      </c>
      <c r="C116" s="2" t="inlineStr">
        <is>
          <t>[BE] F-40 Interact With Blog</t>
        </is>
      </c>
      <c r="D116" s="2" t="inlineStr">
        <is>
          <t>Use case F-40 Interact With Blog (Actor: Traveler). Allows a Traveler to perform the interactions supported by the system on a blog post, such as commenting or other forms of interaction.
Endpoint cần làm:
- BLOG-08 PUT /api/v1/blogs/{blogId}/like
- BLOG-09 DELETE /api/v1/blogs/{blogId}/like
- BLOG-10 POST /api/v1/blogs/{blogId}/comments
- REP-02 POST /api/v1/blogs/{blogId}/reports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16" s="2" t="inlineStr">
        <is>
          <t>Trọng</t>
        </is>
      </c>
      <c r="F116" s="2" t="inlineStr">
        <is>
          <t>ANGI Sprint 2</t>
        </is>
      </c>
      <c r="G116" s="2" t="inlineStr">
        <is>
          <t>EP-BLOG</t>
        </is>
      </c>
      <c r="H116" s="2" t="n">
        <v>2</v>
      </c>
      <c r="I116" s="2" t="inlineStr">
        <is>
          <t>29/10/2026</t>
        </is>
      </c>
      <c r="J116" s="2" t="inlineStr">
        <is>
          <t>30/10/2026</t>
        </is>
      </c>
      <c r="K116" s="2" t="inlineStr">
        <is>
          <t>backend iteration2</t>
        </is>
      </c>
      <c r="L116" s="2" t="inlineStr">
        <is>
          <t>ANGI-127</t>
        </is>
      </c>
      <c r="M116" s="2" t="inlineStr"/>
      <c r="N116" s="2" t="n">
        <v>3.9</v>
      </c>
      <c r="O116" s="2" t="inlineStr">
        <is>
          <t>Medium</t>
        </is>
      </c>
    </row>
    <row r="117">
      <c r="A117" s="2" t="inlineStr">
        <is>
          <t>T051</t>
        </is>
      </c>
      <c r="B117" s="2" t="inlineStr">
        <is>
          <t>Task</t>
        </is>
      </c>
      <c r="C117" s="2" t="inlineStr">
        <is>
          <t>[BE] F-26 Add Roadmap Item with AI Generation</t>
        </is>
      </c>
      <c r="D117" s="2" t="inlineStr">
        <is>
          <t>Use case F-26 Add Roadmap Item with AI Generation (Actor: Traveler). Allows a Traveler to ask the system to automatically add suitable dishes and their corresponding places to the roadmap. Using the user's recommended dish list and the constraints provided earlier, the system generates a full roadmap with complete items; the user then reviews the whole journey and can edit any part if desired.
Endpoint cần làm:
- RM-10 POST /api/v1/roadmaps/{roadmapId}/generate
- RM-11 GET /api/v1/roadmaps/{roadmapId}/generation-jobs/{jobId}
Ghi chú: Chạy nền: tạo roadmap_generation_jobs, app hỏi trạng thái qua RM-11. Ứng viên món lấy qua RECO-05. Làm sau F-19 của Hưng (tạo roadmap) để gắn phần sinh item vào. Điểm xuất phát (GPS gửi kèm hoặc pinned) lọc ứng viên trong radiusKm, không còn quán thì bỏ lọc bán kính. Gom cụm theo ngày: món điểm cao nhất chưa dùng làm mỏ neo, giữ ứng viên cách mỏ neo ≤ 3 km (thiếu thì 5 km) rồi mới đưa LLM sắp lịch; ghi điểm xuất phát và bán kính vào input của job (ghi chú RM-10 trong API Design).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Hưng review. | Làm sau: [BE] F-19 Plan New Roadmap.</t>
        </is>
      </c>
      <c r="E117" s="2" t="inlineStr">
        <is>
          <t>Dũng</t>
        </is>
      </c>
      <c r="F117" s="2" t="inlineStr">
        <is>
          <t>ANGI Sprint 2</t>
        </is>
      </c>
      <c r="G117" s="2" t="inlineStr">
        <is>
          <t>EP-ROAD</t>
        </is>
      </c>
      <c r="H117" s="2" t="n">
        <v>10</v>
      </c>
      <c r="I117" s="2" t="inlineStr">
        <is>
          <t>29/10/2026</t>
        </is>
      </c>
      <c r="J117" s="2" t="inlineStr">
        <is>
          <t>01/11/2026</t>
        </is>
      </c>
      <c r="K117" s="2" t="inlineStr">
        <is>
          <t>backend iteration2</t>
        </is>
      </c>
      <c r="L117" s="2" t="inlineStr">
        <is>
          <t>ANGI-128</t>
        </is>
      </c>
      <c r="M117" s="2" t="inlineStr"/>
      <c r="N117" s="2" t="n">
        <v>1.7</v>
      </c>
      <c r="O117" s="2" t="inlineStr">
        <is>
          <t>High</t>
        </is>
      </c>
    </row>
    <row r="118">
      <c r="A118" s="2" t="inlineStr">
        <is>
          <t>T047</t>
        </is>
      </c>
      <c r="B118" s="2" t="inlineStr">
        <is>
          <t>Task</t>
        </is>
      </c>
      <c r="C118" s="2" t="inlineStr">
        <is>
          <t>[BE] F-24 Add Roadmap Item Manually</t>
        </is>
      </c>
      <c r="D118" s="2" t="inlineStr">
        <is>
          <t>Use case F-24 Add Roadmap Item Manually (Actor: Traveler). Allows a Traveler to manually add a dish and its corresponding place from the system's recommendation list (UC Add Dish and Place) to the roadmap, without using the system's AI roadmap generation.
Endpoint cần làm:
- RM-07 POST /api/v1/roadmaps/{roadmapId}/days/{dayId}/items
- RM-06 GET /api/v1/roadmaps/{roadmapId}/suggestions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[BE] F-25 Add Dish and Place.</t>
        </is>
      </c>
      <c r="E118" s="2" t="inlineStr">
        <is>
          <t>Hưng</t>
        </is>
      </c>
      <c r="F118" s="2" t="inlineStr">
        <is>
          <t>ANGI Sprint 2</t>
        </is>
      </c>
      <c r="G118" s="2" t="inlineStr">
        <is>
          <t>EP-ROAD</t>
        </is>
      </c>
      <c r="H118" s="2" t="n">
        <v>2</v>
      </c>
      <c r="I118" s="2" t="inlineStr">
        <is>
          <t>30/10/2026</t>
        </is>
      </c>
      <c r="J118" s="2" t="inlineStr">
        <is>
          <t>30/10/2026</t>
        </is>
      </c>
      <c r="K118" s="2" t="inlineStr">
        <is>
          <t>backend iteration2</t>
        </is>
      </c>
      <c r="L118" s="2" t="inlineStr">
        <is>
          <t>ANGI-129</t>
        </is>
      </c>
      <c r="M118" s="2" t="inlineStr"/>
      <c r="N118" s="2" t="n">
        <v>3.3</v>
      </c>
      <c r="O118" s="2" t="inlineStr">
        <is>
          <t>Medium</t>
        </is>
      </c>
    </row>
    <row r="119">
      <c r="A119" s="2" t="inlineStr">
        <is>
          <t>T048</t>
        </is>
      </c>
      <c r="B119" s="2" t="inlineStr">
        <is>
          <t>Task</t>
        </is>
      </c>
      <c r="C119" s="2" t="inlineStr">
        <is>
          <t>[FE] F-24 Add Roadmap Item Manually</t>
        </is>
      </c>
      <c r="D119" s="2" t="inlineStr">
        <is>
          <t>Use case F-24 Add Roadmap Item Manually (Actor: Traveler). Allows a Traveler to manually add a dish and its corresponding place from the system's recommendation list (UC Add Dish and Place) to the roadmap, without using the system's AI roadmap generation.
Endpoint cần gọi:
- RM-07 POST /api/v1/roadmaps/{roadmapId}/days/{dayId}/items
- RM-06 GET /api/v1/roadmaps/{roadmapId}/suggestions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19" s="2" t="inlineStr">
        <is>
          <t>Tuấn</t>
        </is>
      </c>
      <c r="F119" s="2" t="inlineStr">
        <is>
          <t>ANGI Sprint 2</t>
        </is>
      </c>
      <c r="G119" s="2" t="inlineStr">
        <is>
          <t>EP-ROAD</t>
        </is>
      </c>
      <c r="H119" s="2" t="n">
        <v>2</v>
      </c>
      <c r="I119" s="2" t="inlineStr">
        <is>
          <t>30/10/2026</t>
        </is>
      </c>
      <c r="J119" s="2" t="inlineStr">
        <is>
          <t>30/10/2026</t>
        </is>
      </c>
      <c r="K119" s="2" t="inlineStr">
        <is>
          <t>frontend iteration2</t>
        </is>
      </c>
      <c r="L119" s="2" t="inlineStr">
        <is>
          <t>ANGI-130</t>
        </is>
      </c>
      <c r="M119" s="2" t="inlineStr"/>
      <c r="N119" s="2" t="n">
        <v>5.4</v>
      </c>
      <c r="O119" s="2" t="inlineStr">
        <is>
          <t>Medium</t>
        </is>
      </c>
    </row>
    <row r="120">
      <c r="A120" s="2" t="inlineStr">
        <is>
          <t>T081</t>
        </is>
      </c>
      <c r="B120" s="2" t="inlineStr">
        <is>
          <t>Task</t>
        </is>
      </c>
      <c r="C120" s="2" t="inlineStr">
        <is>
          <t>[BE] F-41 Comment Blog</t>
        </is>
      </c>
      <c r="D120" s="2" t="inlineStr">
        <is>
          <t>Use case F-41 Comment Blog (Actor: Traveler). Allows a Traveler to write and post a comment on a blog post. The system checks the content against the required rules and saves the comment if it is valid.
Endpoint cần làm:
- BLOG-10 POST /api/v1/blogs/{blogId}/comments
- BLOG-11 DELETE /api/v1/blogs/{blogId}/comments/{commentId}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20" s="2" t="inlineStr">
        <is>
          <t>Trọng</t>
        </is>
      </c>
      <c r="F120" s="2" t="inlineStr">
        <is>
          <t>ANGI Sprint 2</t>
        </is>
      </c>
      <c r="G120" s="2" t="inlineStr">
        <is>
          <t>EP-BLOG</t>
        </is>
      </c>
      <c r="H120" s="2" t="n">
        <v>3</v>
      </c>
      <c r="I120" s="2" t="inlineStr">
        <is>
          <t>30/10/2026</t>
        </is>
      </c>
      <c r="J120" s="2" t="inlineStr">
        <is>
          <t>30/10/2026</t>
        </is>
      </c>
      <c r="K120" s="2" t="inlineStr">
        <is>
          <t>backend iteration2</t>
        </is>
      </c>
      <c r="L120" s="2" t="inlineStr">
        <is>
          <t>ANGI-131</t>
        </is>
      </c>
      <c r="M120" s="2" t="inlineStr"/>
      <c r="N120" s="2" t="n">
        <v>3.2</v>
      </c>
      <c r="O120" s="2" t="inlineStr">
        <is>
          <t>Medium</t>
        </is>
      </c>
    </row>
    <row r="121">
      <c r="A121" s="2" t="inlineStr">
        <is>
          <t>T057</t>
        </is>
      </c>
      <c r="B121" s="2" t="inlineStr">
        <is>
          <t>Task</t>
        </is>
      </c>
      <c r="C121" s="2" t="inlineStr">
        <is>
          <t>[BE] F-29 View Roadmap Item Detail</t>
        </is>
      </c>
      <c r="D121" s="2" t="inlineStr">
        <is>
          <t>Use case F-29 View Roadmap Item Detail (Actor: Traveler). Allows a Traveler to view the details of a roadmap item, including the dish, the corresponding restaurant, location information, and other related data provided by the system.
Endpoint cần làm:
- RM-12 GET /api/v1/roadmaps/{roadmapId}/items/{itemId}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21" s="2" t="inlineStr">
        <is>
          <t>Hưng</t>
        </is>
      </c>
      <c r="F121" s="2" t="inlineStr">
        <is>
          <t>ANGI Sprint 2</t>
        </is>
      </c>
      <c r="G121" s="2" t="inlineStr">
        <is>
          <t>EP-ROAD</t>
        </is>
      </c>
      <c r="H121" s="2" t="n">
        <v>2</v>
      </c>
      <c r="I121" s="2" t="inlineStr">
        <is>
          <t>30/10/2026</t>
        </is>
      </c>
      <c r="J121" s="2" t="inlineStr">
        <is>
          <t>31/10/2026</t>
        </is>
      </c>
      <c r="K121" s="2" t="inlineStr">
        <is>
          <t>backend iteration2</t>
        </is>
      </c>
      <c r="L121" s="2" t="inlineStr">
        <is>
          <t>ANGI-132</t>
        </is>
      </c>
      <c r="M121" s="2" t="inlineStr"/>
      <c r="N121" s="2" t="n">
        <v>2.1</v>
      </c>
      <c r="O121" s="2" t="inlineStr">
        <is>
          <t>Medium</t>
        </is>
      </c>
    </row>
    <row r="122">
      <c r="A122" s="2" t="inlineStr">
        <is>
          <t>T058</t>
        </is>
      </c>
      <c r="B122" s="2" t="inlineStr">
        <is>
          <t>Task</t>
        </is>
      </c>
      <c r="C122" s="2" t="inlineStr">
        <is>
          <t>[FE] F-29 View Roadmap Item Detail</t>
        </is>
      </c>
      <c r="D122" s="2" t="inlineStr">
        <is>
          <t>Use case F-29 View Roadmap Item Detail (Actor: Traveler). Allows a Traveler to view the details of a roadmap item, including the dish, the corresponding restaurant, location information, and other related data provided by the system.
Endpoint cần gọi:
- RM-12 GET /api/v1/roadmaps/{roadmapId}/items/{itemId}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22" s="2" t="inlineStr">
        <is>
          <t>Tuấn</t>
        </is>
      </c>
      <c r="F122" s="2" t="inlineStr">
        <is>
          <t>ANGI Sprint 2</t>
        </is>
      </c>
      <c r="G122" s="2" t="inlineStr">
        <is>
          <t>EP-ROAD</t>
        </is>
      </c>
      <c r="H122" s="2" t="n">
        <v>2</v>
      </c>
      <c r="I122" s="2" t="inlineStr">
        <is>
          <t>30/10/2026</t>
        </is>
      </c>
      <c r="J122" s="2" t="inlineStr">
        <is>
          <t>31/10/2026</t>
        </is>
      </c>
      <c r="K122" s="2" t="inlineStr">
        <is>
          <t>frontend iteration2</t>
        </is>
      </c>
      <c r="L122" s="2" t="inlineStr">
        <is>
          <t>ANGI-133</t>
        </is>
      </c>
      <c r="M122" s="2" t="inlineStr"/>
      <c r="N122" s="2" t="n">
        <v>4.8</v>
      </c>
      <c r="O122" s="2" t="inlineStr">
        <is>
          <t>Medium</t>
        </is>
      </c>
    </row>
    <row r="123">
      <c r="A123" s="2" t="inlineStr">
        <is>
          <t>T076</t>
        </is>
      </c>
      <c r="B123" s="2" t="inlineStr">
        <is>
          <t>Task</t>
        </is>
      </c>
      <c r="C123" s="2" t="inlineStr">
        <is>
          <t>[FE] F-38 Edit Blog</t>
        </is>
      </c>
      <c r="D123" s="2" t="inlineStr">
        <is>
          <t>Use case F-38 Edit Blog (Actor: Traveler). Allows a Traveler to edit the content and basic information of a blog post they created.
Endpoint cần gọi:
- BLOG-06 PATCH /api/v1/blogs/{blogId}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23" s="2" t="inlineStr">
        <is>
          <t>Đức</t>
        </is>
      </c>
      <c r="F123" s="2" t="inlineStr">
        <is>
          <t>ANGI Sprint 2</t>
        </is>
      </c>
      <c r="G123" s="2" t="inlineStr">
        <is>
          <t>EP-BLOG</t>
        </is>
      </c>
      <c r="H123" s="2" t="n">
        <v>2</v>
      </c>
      <c r="I123" s="2" t="inlineStr">
        <is>
          <t>30/10/2026</t>
        </is>
      </c>
      <c r="J123" s="2" t="inlineStr">
        <is>
          <t>31/10/2026</t>
        </is>
      </c>
      <c r="K123" s="2" t="inlineStr">
        <is>
          <t>frontend iteration2</t>
        </is>
      </c>
      <c r="L123" s="2" t="inlineStr">
        <is>
          <t>ANGI-134</t>
        </is>
      </c>
      <c r="M123" s="2" t="inlineStr"/>
      <c r="N123" s="2" t="n">
        <v>5</v>
      </c>
      <c r="O123" s="2" t="inlineStr">
        <is>
          <t>Medium</t>
        </is>
      </c>
    </row>
    <row r="124">
      <c r="A124" s="2" t="inlineStr">
        <is>
          <t>T083</t>
        </is>
      </c>
      <c r="B124" s="2" t="inlineStr">
        <is>
          <t>Task</t>
        </is>
      </c>
      <c r="C124" s="2" t="inlineStr">
        <is>
          <t>[BE] F-42 Report Blog</t>
        </is>
      </c>
      <c r="D124" s="2" t="inlineStr">
        <is>
          <t>Use case F-42 Report Blog (Actor: Traveler). Allows a Traveler to report a blog post they consider inappropriate or in violation of the rules. The system records the report and forwards the content to the moderation process.
Endpoint cần làm:
- REP-02 POST /api/v1/blogs/{blogId}/reports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24" s="2" t="inlineStr">
        <is>
          <t>Trọng</t>
        </is>
      </c>
      <c r="F124" s="2" t="inlineStr">
        <is>
          <t>ANGI Sprint 2</t>
        </is>
      </c>
      <c r="G124" s="2" t="inlineStr">
        <is>
          <t>EP-BLOG</t>
        </is>
      </c>
      <c r="H124" s="2" t="n">
        <v>2</v>
      </c>
      <c r="I124" s="2" t="inlineStr">
        <is>
          <t>30/10/2026</t>
        </is>
      </c>
      <c r="J124" s="2" t="inlineStr">
        <is>
          <t>31/10/2026</t>
        </is>
      </c>
      <c r="K124" s="2" t="inlineStr">
        <is>
          <t>backend iteration2</t>
        </is>
      </c>
      <c r="L124" s="2" t="inlineStr">
        <is>
          <t>ANGI-135</t>
        </is>
      </c>
      <c r="M124" s="2" t="inlineStr"/>
      <c r="N124" s="2" t="n">
        <v>2.7</v>
      </c>
      <c r="O124" s="2" t="inlineStr">
        <is>
          <t>Medium</t>
        </is>
      </c>
    </row>
    <row r="125">
      <c r="A125" s="2" t="inlineStr">
        <is>
          <t>T078</t>
        </is>
      </c>
      <c r="B125" s="2" t="inlineStr">
        <is>
          <t>Task</t>
        </is>
      </c>
      <c r="C125" s="2" t="inlineStr">
        <is>
          <t>[FE] F-39 Delete Blog</t>
        </is>
      </c>
      <c r="D125" s="2" t="inlineStr">
        <is>
          <t>Use case F-39 Delete Blog (Actor: Traveler). Allows a Traveler to delete a blog post they created.
Endpoint cần gọi:
- BLOG-07 DELETE /api/v1/blogs/{blogId}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25" s="2" t="inlineStr">
        <is>
          <t>Đức</t>
        </is>
      </c>
      <c r="F125" s="2" t="inlineStr">
        <is>
          <t>ANGI Sprint 2</t>
        </is>
      </c>
      <c r="G125" s="2" t="inlineStr">
        <is>
          <t>EP-BLOG</t>
        </is>
      </c>
      <c r="H125" s="2" t="n">
        <v>1</v>
      </c>
      <c r="I125" s="2" t="inlineStr">
        <is>
          <t>31/10/2026</t>
        </is>
      </c>
      <c r="J125" s="2" t="inlineStr">
        <is>
          <t>31/10/2026</t>
        </is>
      </c>
      <c r="K125" s="2" t="inlineStr">
        <is>
          <t>frontend iteration2</t>
        </is>
      </c>
      <c r="L125" s="2" t="inlineStr">
        <is>
          <t>ANGI-136</t>
        </is>
      </c>
      <c r="M125" s="2" t="inlineStr"/>
      <c r="N125" s="2" t="n">
        <v>4.6</v>
      </c>
      <c r="O125" s="2" t="inlineStr">
        <is>
          <t>Medium</t>
        </is>
      </c>
    </row>
    <row r="126">
      <c r="A126" s="3" t="inlineStr">
        <is>
          <t>T061</t>
        </is>
      </c>
      <c r="B126" s="3" t="inlineStr">
        <is>
          <t>Task</t>
        </is>
      </c>
      <c r="C126" s="3" t="inlineStr">
        <is>
          <t>[BE] F-31 Feedback Restaurant</t>
        </is>
      </c>
      <c r="D126" s="3" t="inlineStr">
        <is>
          <t>[CRITICAL PATH] Task này nằm trên đường găng: dự phòng tối đa 1 ngày. Phải xong đúng Due Date 01/11/2026; trễ 1 ngày thì mốc "Software Package Version 2" (08/11/2026) bị trễ theo.
Ảnh hưởng trực tiếp tới: [BE] F-32 Reply Feedback; Code freeze + tích hợp Iteration 2: merge PR vào dev, chạy toàn hệ thống.
Gặp vướng thì báo ngay trong ngày cho Dũng (PM), không đợi họp.
Use case F-31 Feedback Restaurant (Actor: Traveler). Allows a Traveler to give feedback on a restaurant based on their experience. The system stores the rating/review and updates the restaurant's rating data accordingly.
Endpoint cần làm:
- REV-01 POST /api/v1/restaurants/{restaurantId}/reviews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26" s="3" t="inlineStr">
        <is>
          <t>Trọng</t>
        </is>
      </c>
      <c r="F126" s="3" t="inlineStr">
        <is>
          <t>ANGI Sprint 2</t>
        </is>
      </c>
      <c r="G126" s="3" t="inlineStr">
        <is>
          <t>EP-FBR</t>
        </is>
      </c>
      <c r="H126" s="3" t="n">
        <v>3</v>
      </c>
      <c r="I126" s="3" t="inlineStr">
        <is>
          <t>31/10/2026</t>
        </is>
      </c>
      <c r="J126" s="3" t="inlineStr">
        <is>
          <t>01/11/2026</t>
        </is>
      </c>
      <c r="K126" s="3" t="inlineStr">
        <is>
          <t>backend iteration2 critical-path</t>
        </is>
      </c>
      <c r="L126" s="3" t="inlineStr">
        <is>
          <t>ANGI-137</t>
        </is>
      </c>
      <c r="M126" s="3" t="inlineStr">
        <is>
          <t>Có</t>
        </is>
      </c>
      <c r="N126" s="3" t="n">
        <v>1.5</v>
      </c>
      <c r="O126" s="3" t="inlineStr">
        <is>
          <t>Highest</t>
        </is>
      </c>
    </row>
    <row r="127">
      <c r="A127" s="2" t="inlineStr">
        <is>
          <t>T052</t>
        </is>
      </c>
      <c r="B127" s="2" t="inlineStr">
        <is>
          <t>Task</t>
        </is>
      </c>
      <c r="C127" s="2" t="inlineStr">
        <is>
          <t>[FE] F-26 Add Roadmap Item with AI Generation</t>
        </is>
      </c>
      <c r="D127" s="2" t="inlineStr">
        <is>
          <t>Use case F-26 Add Roadmap Item with AI Generation (Actor: Traveler). Allows a Traveler to ask the system to automatically add suitable dishes and their corresponding places to the roadmap. Using the user's recommended dish list and the constraints provided earlier, the system generates a full roadmap with complete items; the user then reviews the whole journey and can edit any part if desired.
Endpoint cần gọi:
- RM-10 POST /api/v1/roadmaps/{roadmapId}/generate
- RM-11 GET /api/v1/roadmaps/{roadmapId}/generation-jobs/{jobId}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27" s="2" t="inlineStr">
        <is>
          <t>Tuấn</t>
        </is>
      </c>
      <c r="F127" s="2" t="inlineStr">
        <is>
          <t>ANGI Sprint 2</t>
        </is>
      </c>
      <c r="G127" s="2" t="inlineStr">
        <is>
          <t>EP-ROAD</t>
        </is>
      </c>
      <c r="H127" s="2" t="n">
        <v>5</v>
      </c>
      <c r="I127" s="2" t="inlineStr">
        <is>
          <t>31/10/2026</t>
        </is>
      </c>
      <c r="J127" s="2" t="inlineStr">
        <is>
          <t>01/11/2026</t>
        </is>
      </c>
      <c r="K127" s="2" t="inlineStr">
        <is>
          <t>frontend iteration2</t>
        </is>
      </c>
      <c r="L127" s="2" t="inlineStr">
        <is>
          <t>ANGI-138</t>
        </is>
      </c>
      <c r="M127" s="2" t="inlineStr"/>
      <c r="N127" s="2" t="n">
        <v>3.3</v>
      </c>
      <c r="O127" s="2" t="inlineStr">
        <is>
          <t>High</t>
        </is>
      </c>
    </row>
    <row r="128">
      <c r="A128" s="2" t="inlineStr">
        <is>
          <t>T053</t>
        </is>
      </c>
      <c r="B128" s="2" t="inlineStr">
        <is>
          <t>Task</t>
        </is>
      </c>
      <c r="C128" s="2" t="inlineStr">
        <is>
          <t>[BE] F-27 Edit Roadmap Item</t>
        </is>
      </c>
      <c r="D128" s="2" t="inlineStr">
        <is>
          <t>Use case F-27 Edit Roadmap Item (Actor: Traveler). Allows a Traveler to replace an existing roadmap item with a more suitable one. For example, if breakfast is currently “Bún bò”, the user can pick another dish from the system's recommendation list to replace it, and the restaurant location changes accordingly. The system validates the change and updates the roadmap.
Endpoint cần làm:
- RM-08 PATCH /api/v1/roadmaps/{roadmapId}/items/{itemId}
- RM-06 GET /api/v1/roadmaps/{roadmapId}/suggestions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28" s="2" t="inlineStr">
        <is>
          <t>Hưng</t>
        </is>
      </c>
      <c r="F128" s="2" t="inlineStr">
        <is>
          <t>ANGI Sprint 2</t>
        </is>
      </c>
      <c r="G128" s="2" t="inlineStr">
        <is>
          <t>EP-ROAD</t>
        </is>
      </c>
      <c r="H128" s="2" t="n">
        <v>3</v>
      </c>
      <c r="I128" s="2" t="inlineStr">
        <is>
          <t>31/10/2026</t>
        </is>
      </c>
      <c r="J128" s="2" t="inlineStr">
        <is>
          <t>01/11/2026</t>
        </is>
      </c>
      <c r="K128" s="2" t="inlineStr">
        <is>
          <t>backend iteration2</t>
        </is>
      </c>
      <c r="L128" s="2" t="inlineStr">
        <is>
          <t>ANGI-139</t>
        </is>
      </c>
      <c r="M128" s="2" t="inlineStr"/>
      <c r="N128" s="2" t="n">
        <v>1.9</v>
      </c>
      <c r="O128" s="2" t="inlineStr">
        <is>
          <t>Medium</t>
        </is>
      </c>
    </row>
    <row r="129">
      <c r="A129" s="2" t="inlineStr">
        <is>
          <t>T080</t>
        </is>
      </c>
      <c r="B129" s="2" t="inlineStr">
        <is>
          <t>Task</t>
        </is>
      </c>
      <c r="C129" s="2" t="inlineStr">
        <is>
          <t>[FE] F-40 Interact With Blog</t>
        </is>
      </c>
      <c r="D129" s="2" t="inlineStr">
        <is>
          <t>Use case F-40 Interact With Blog (Actor: Traveler). Allows a Traveler to perform the interactions supported by the system on a blog post, such as commenting or other forms of interaction.
Endpoint cần gọi:
- BLOG-08 PUT /api/v1/blogs/{blogId}/like
- BLOG-09 DELETE /api/v1/blogs/{blogId}/like
- BLOG-10 POST /api/v1/blogs/{blogId}/comments
- REP-02 POST /api/v1/blogs/{blogId}/reports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29" s="2" t="inlineStr">
        <is>
          <t>Đức</t>
        </is>
      </c>
      <c r="F129" s="2" t="inlineStr">
        <is>
          <t>ANGI Sprint 2</t>
        </is>
      </c>
      <c r="G129" s="2" t="inlineStr">
        <is>
          <t>EP-BLOG</t>
        </is>
      </c>
      <c r="H129" s="2" t="n">
        <v>2</v>
      </c>
      <c r="I129" s="2" t="inlineStr">
        <is>
          <t>31/10/2026</t>
        </is>
      </c>
      <c r="J129" s="2" t="inlineStr">
        <is>
          <t>01/11/2026</t>
        </is>
      </c>
      <c r="K129" s="2" t="inlineStr">
        <is>
          <t>frontend iteration2</t>
        </is>
      </c>
      <c r="L129" s="2" t="inlineStr">
        <is>
          <t>ANGI-140</t>
        </is>
      </c>
      <c r="M129" s="2" t="inlineStr"/>
      <c r="N129" s="2" t="n">
        <v>3.9</v>
      </c>
      <c r="O129" s="2" t="inlineStr">
        <is>
          <t>Medium</t>
        </is>
      </c>
    </row>
    <row r="130">
      <c r="A130" s="3" t="inlineStr">
        <is>
          <t>T045</t>
        </is>
      </c>
      <c r="B130" s="3" t="inlineStr">
        <is>
          <t>Task</t>
        </is>
      </c>
      <c r="C130" s="3" t="inlineStr">
        <is>
          <t>[BE] F-23 Share My Roadmap</t>
        </is>
      </c>
      <c r="D130" s="3" t="inlineStr">
        <is>
          <t>[CRITICAL PATH] Task này nằm trên đường găng: dự phòng tối đa 1 ngày. Phải xong đúng Due Date 01/11/2026; trễ 1 ngày thì mốc "Software Package Version 2" (08/11/2026) bị trễ theo.
Ảnh hưởng trực tiếp tới: [FE] F-23 Share My Roadmap; Code freeze + tích hợp Iteration 2: merge PR vào dev, chạy toàn hệ thống.
Cần xong trước khi bắt đầu: [BE] F-36 Write Blog.
Gặp vướng thì báo ngay trong ngày cho Dũng (PM), không đợi họp.
Use case F-23 Share My Roadmap (Actor: Traveler). Allows a Traveler to share their roadmap with others through the sharing mechanism provided by the system. The user writes a blog post about the roadmap (UC Write Blog) before it is shared with the community.
Endpoint cần làm:
- BLOG-04 POST /api/v1/blogs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[BE] F-36 Write Blog.</t>
        </is>
      </c>
      <c r="E130" s="3" t="inlineStr">
        <is>
          <t>Hưng</t>
        </is>
      </c>
      <c r="F130" s="3" t="inlineStr">
        <is>
          <t>ANGI Sprint 2</t>
        </is>
      </c>
      <c r="G130" s="3" t="inlineStr">
        <is>
          <t>EP-ROAD</t>
        </is>
      </c>
      <c r="H130" s="3" t="n">
        <v>2</v>
      </c>
      <c r="I130" s="3" t="inlineStr">
        <is>
          <t>01/11/2026</t>
        </is>
      </c>
      <c r="J130" s="3" t="inlineStr">
        <is>
          <t>01/11/2026</t>
        </is>
      </c>
      <c r="K130" s="3" t="inlineStr">
        <is>
          <t>backend iteration2 critical-path</t>
        </is>
      </c>
      <c r="L130" s="3" t="inlineStr">
        <is>
          <t>ANGI-141</t>
        </is>
      </c>
      <c r="M130" s="3" t="inlineStr">
        <is>
          <t>Có</t>
        </is>
      </c>
      <c r="N130" s="3" t="n">
        <v>1</v>
      </c>
      <c r="O130" s="3" t="inlineStr">
        <is>
          <t>Highest</t>
        </is>
      </c>
    </row>
    <row r="131">
      <c r="A131" s="3" t="inlineStr">
        <is>
          <t>T063</t>
        </is>
      </c>
      <c r="B131" s="3" t="inlineStr">
        <is>
          <t>Task</t>
        </is>
      </c>
      <c r="C131" s="3" t="inlineStr">
        <is>
          <t>[BE] F-32 Reply Feedback</t>
        </is>
      </c>
      <c r="D131" s="3" t="inlineStr">
        <is>
          <t>[CRITICAL PATH] Task này nằm trên đường găng: dự phòng tối đa 1 ngày. Phải xong đúng Due Date 01/11/2026; trễ 1 ngày thì mốc "Software Package Version 2" (08/11/2026) bị trễ theo.
Ảnh hưởng trực tiếp tới: [FE] F-32 Reply Feedback; Code freeze + tích hợp Iteration 2: merge PR vào dev, chạy toàn hệ thống.
Cần xong trước khi bắt đầu: [BE] F-31 Feedback Restaurant.
Gặp vướng thì báo ngay trong ngày cho Dũng (PM), không đợi họp.
Use case F-32 Reply Feedback (Actor: Restaurant Owner). Allows a Restaurant Owner to reply to users' feedback/reviews on their restaurant. The system stores the reply and displays it according to the platform's display rules.
Endpoint cần làm:
- OWN-19 GET /api/v1/owner/restaurant/reviews
- OWN-20 PUT /api/v1/owner/restaurant/reviews/{reviewId}/reply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[BE] F-31 Feedback Restaurant.</t>
        </is>
      </c>
      <c r="E131" s="3" t="inlineStr">
        <is>
          <t>Trọng</t>
        </is>
      </c>
      <c r="F131" s="3" t="inlineStr">
        <is>
          <t>ANGI Sprint 2</t>
        </is>
      </c>
      <c r="G131" s="3" t="inlineStr">
        <is>
          <t>EP-FBR</t>
        </is>
      </c>
      <c r="H131" s="3" t="n">
        <v>2</v>
      </c>
      <c r="I131" s="3" t="inlineStr">
        <is>
          <t>01/11/2026</t>
        </is>
      </c>
      <c r="J131" s="3" t="inlineStr">
        <is>
          <t>01/11/2026</t>
        </is>
      </c>
      <c r="K131" s="3" t="inlineStr">
        <is>
          <t>backend iteration2 critical-path</t>
        </is>
      </c>
      <c r="L131" s="3" t="inlineStr">
        <is>
          <t>ANGI-142</t>
        </is>
      </c>
      <c r="M131" s="3" t="inlineStr">
        <is>
          <t>Có</t>
        </is>
      </c>
      <c r="N131" s="3" t="n">
        <v>1.5</v>
      </c>
      <c r="O131" s="3" t="inlineStr">
        <is>
          <t>Highest</t>
        </is>
      </c>
    </row>
    <row r="132">
      <c r="A132" s="3" t="inlineStr">
        <is>
          <t>T065</t>
        </is>
      </c>
      <c r="B132" s="3" t="inlineStr">
        <is>
          <t>Task</t>
        </is>
      </c>
      <c r="C132" s="3" t="inlineStr">
        <is>
          <t>[BE] F-33 Report Restaurant</t>
        </is>
      </c>
      <c r="D132" s="3" t="inlineStr">
        <is>
          <t>[CRITICAL PATH] Task này nằm trên đường găng: dự phòng tối đa 1 ngày. Phải xong đúng Due Date 01/11/2026; trễ 1 ngày thì mốc "Software Package Version 2" (08/11/2026) bị trễ theo.
Ảnh hưởng trực tiếp tới: [FE] F-33 Report Restaurant; Code freeze + tích hợp Iteration 2: merge PR vào dev, chạy toàn hệ thống.
Gặp vướng thì báo ngay trong ngày cho Dũng (PM), không đợi họp.
Use case F-33 Report Restaurant (Actor: Traveler). Allows a Traveler to report a restaurant when they find incorrect information, inappropriate behavior, or other issues that need to be reviewed. The system records the report and forwards it to the handling process.
Endpoint cần làm:
- REP-01 POST /api/v1/restaurants/{restaurantId}/reports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32" s="3" t="inlineStr">
        <is>
          <t>Trọng</t>
        </is>
      </c>
      <c r="F132" s="3" t="inlineStr">
        <is>
          <t>ANGI Sprint 2</t>
        </is>
      </c>
      <c r="G132" s="3" t="inlineStr">
        <is>
          <t>EP-FBR</t>
        </is>
      </c>
      <c r="H132" s="3" t="n">
        <v>2</v>
      </c>
      <c r="I132" s="3" t="inlineStr">
        <is>
          <t>01/11/2026</t>
        </is>
      </c>
      <c r="J132" s="3" t="inlineStr">
        <is>
          <t>01/11/2026</t>
        </is>
      </c>
      <c r="K132" s="3" t="inlineStr">
        <is>
          <t>backend iteration2 critical-path</t>
        </is>
      </c>
      <c r="L132" s="3" t="inlineStr">
        <is>
          <t>ANGI-143</t>
        </is>
      </c>
      <c r="M132" s="3" t="inlineStr">
        <is>
          <t>Có</t>
        </is>
      </c>
      <c r="N132" s="3" t="n">
        <v>1</v>
      </c>
      <c r="O132" s="3" t="inlineStr">
        <is>
          <t>Highest</t>
        </is>
      </c>
    </row>
    <row r="133">
      <c r="A133" s="2" t="inlineStr">
        <is>
          <t>T055</t>
        </is>
      </c>
      <c r="B133" s="2" t="inlineStr">
        <is>
          <t>Task</t>
        </is>
      </c>
      <c r="C133" s="2" t="inlineStr">
        <is>
          <t>[BE] F-28 Delete Roadmap Item</t>
        </is>
      </c>
      <c r="D133" s="2" t="inlineStr">
        <is>
          <t>Use case F-28 Delete Roadmap Item (Actor: Traveler). Allows a Traveler to remove a dish and its corresponding place from the current roadmap. The system asks for confirmation if needed and removes the item without affecting other items.
Endpoint cần làm:
- RM-09 DELETE /api/v1/roadmaps/{roadmapId}/items/{itemId}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33" s="2" t="inlineStr">
        <is>
          <t>Hưng</t>
        </is>
      </c>
      <c r="F133" s="2" t="inlineStr">
        <is>
          <t>ANGI Sprint 2</t>
        </is>
      </c>
      <c r="G133" s="2" t="inlineStr">
        <is>
          <t>EP-ROAD</t>
        </is>
      </c>
      <c r="H133" s="2" t="n">
        <v>1</v>
      </c>
      <c r="I133" s="2" t="inlineStr">
        <is>
          <t>01/11/2026</t>
        </is>
      </c>
      <c r="J133" s="2" t="inlineStr">
        <is>
          <t>01/11/2026</t>
        </is>
      </c>
      <c r="K133" s="2" t="inlineStr">
        <is>
          <t>backend iteration2</t>
        </is>
      </c>
      <c r="L133" s="2" t="inlineStr">
        <is>
          <t>ANGI-144</t>
        </is>
      </c>
      <c r="M133" s="2" t="inlineStr"/>
      <c r="N133" s="2" t="n">
        <v>1.6</v>
      </c>
      <c r="O133" s="2" t="inlineStr">
        <is>
          <t>Medium</t>
        </is>
      </c>
    </row>
    <row r="134">
      <c r="A134" s="2" t="inlineStr">
        <is>
          <t>T082</t>
        </is>
      </c>
      <c r="B134" s="2" t="inlineStr">
        <is>
          <t>Task</t>
        </is>
      </c>
      <c r="C134" s="2" t="inlineStr">
        <is>
          <t>[FE] F-41 Comment Blog</t>
        </is>
      </c>
      <c r="D134" s="2" t="inlineStr">
        <is>
          <t>Use case F-41 Comment Blog (Actor: Traveler). Allows a Traveler to write and post a comment on a blog post. The system checks the content against the required rules and saves the comment if it is valid.
Endpoint cần gọi:
- BLOG-10 POST /api/v1/blogs/{blogId}/comments
- BLOG-11 DELETE /api/v1/blogs/{blogId}/comments/{commentId}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34" s="2" t="inlineStr">
        <is>
          <t>Đức</t>
        </is>
      </c>
      <c r="F134" s="2" t="inlineStr">
        <is>
          <t>ANGI Sprint 2</t>
        </is>
      </c>
      <c r="G134" s="2" t="inlineStr">
        <is>
          <t>EP-BLOG</t>
        </is>
      </c>
      <c r="H134" s="2" t="n">
        <v>2</v>
      </c>
      <c r="I134" s="2" t="inlineStr">
        <is>
          <t>01/11/2026</t>
        </is>
      </c>
      <c r="J134" s="2" t="inlineStr">
        <is>
          <t>01/11/2026</t>
        </is>
      </c>
      <c r="K134" s="2" t="inlineStr">
        <is>
          <t>frontend iteration2</t>
        </is>
      </c>
      <c r="L134" s="2" t="inlineStr">
        <is>
          <t>ANGI-145</t>
        </is>
      </c>
      <c r="M134" s="2" t="inlineStr"/>
      <c r="N134" s="2" t="n">
        <v>3.2</v>
      </c>
      <c r="O134" s="2" t="inlineStr">
        <is>
          <t>Medium</t>
        </is>
      </c>
    </row>
    <row r="135">
      <c r="A135" s="3" t="inlineStr">
        <is>
          <t>T059</t>
        </is>
      </c>
      <c r="B135" s="3" t="inlineStr">
        <is>
          <t>Task</t>
        </is>
      </c>
      <c r="C135" s="3" t="inlineStr">
        <is>
          <t>[BE] F-30 Rate Dish</t>
        </is>
      </c>
      <c r="D135" s="3" t="inlineStr">
        <is>
          <t>[CRITICAL PATH] Task này nằm trên đường găng: dự phòng tối đa 1 ngày. Phải xong đúng Due Date 02/11/2026; trễ 1 ngày thì mốc "Software Package Version 2" (08/11/2026) bị trễ theo.
Ảnh hưởng trực tiếp tới: Code freeze + tích hợp Iteration 2: merge PR vào dev, chạy toàn hệ thống.
Cần xong trước khi bắt đầu: Reco P2: Lưu like/dislike vào interaction_events (RECO-04 /feedback); [BE] F-29 View Roadmap Item Detail.
Gặp vướng thì báo ngay trong ngày cho Dũng (PM), không đợi họp.
Use case F-30 Rate Dish (Actor: Traveler). Allows a Traveler to rate how much they like a dish after interacting with or trying it. The system stores the user's rating (like/dislike) and uses it as implicit/explicit feedback to personalize recommendations.
Endpoint cần làm:
- RM-13 POST /api/v1/roadmaps/{roadmapId}/items/{itemId}/feedback
Ghi chú: Like/dislike 1 lần mỗi roadmap item (dish_feedbacks). Ghi outbox FEEDBACK_CREATED trong cùng transaction, không gọi reco trực tiếp.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Hưng review. | Làm sau: Reco P2: Lưu like/dislike vào interaction_events (RECO-04 /feedback), [BE] F-29 View Roadmap Item Detail.</t>
        </is>
      </c>
      <c r="E135" s="3" t="inlineStr">
        <is>
          <t>Dũng</t>
        </is>
      </c>
      <c r="F135" s="3" t="inlineStr">
        <is>
          <t>ANGI Sprint 2</t>
        </is>
      </c>
      <c r="G135" s="3" t="inlineStr">
        <is>
          <t>EP-ROAD</t>
        </is>
      </c>
      <c r="H135" s="3" t="n">
        <v>2</v>
      </c>
      <c r="I135" s="3" t="inlineStr">
        <is>
          <t>01/11/2026</t>
        </is>
      </c>
      <c r="J135" s="3" t="inlineStr">
        <is>
          <t>02/11/2026</t>
        </is>
      </c>
      <c r="K135" s="3" t="inlineStr">
        <is>
          <t>backend iteration2 critical-path</t>
        </is>
      </c>
      <c r="L135" s="3" t="inlineStr">
        <is>
          <t>ANGI-146</t>
        </is>
      </c>
      <c r="M135" s="3" t="inlineStr">
        <is>
          <t>Có</t>
        </is>
      </c>
      <c r="N135" s="3" t="n">
        <v>1</v>
      </c>
      <c r="O135" s="3" t="inlineStr">
        <is>
          <t>Highest</t>
        </is>
      </c>
    </row>
    <row r="136">
      <c r="A136" s="2" t="inlineStr">
        <is>
          <t>T054</t>
        </is>
      </c>
      <c r="B136" s="2" t="inlineStr">
        <is>
          <t>Task</t>
        </is>
      </c>
      <c r="C136" s="2" t="inlineStr">
        <is>
          <t>[FE] F-27 Edit Roadmap Item</t>
        </is>
      </c>
      <c r="D136" s="2" t="inlineStr">
        <is>
          <t>Use case F-27 Edit Roadmap Item (Actor: Traveler). Allows a Traveler to replace an existing roadmap item with a more suitable one. For example, if breakfast is currently “Bún bò”, the user can pick another dish from the system's recommendation list to replace it, and the restaurant location changes accordingly. The system validates the change and updates the roadmap.
Endpoint cần gọi:
- RM-08 PATCH /api/v1/roadmaps/{roadmapId}/items/{itemId}
- RM-06 GET /api/v1/roadmaps/{roadmapId}/suggestions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36" s="2" t="inlineStr">
        <is>
          <t>Tuấn</t>
        </is>
      </c>
      <c r="F136" s="2" t="inlineStr">
        <is>
          <t>ANGI Sprint 2</t>
        </is>
      </c>
      <c r="G136" s="2" t="inlineStr">
        <is>
          <t>EP-ROAD</t>
        </is>
      </c>
      <c r="H136" s="2" t="n">
        <v>3</v>
      </c>
      <c r="I136" s="2" t="inlineStr">
        <is>
          <t>01/11/2026</t>
        </is>
      </c>
      <c r="J136" s="2" t="inlineStr">
        <is>
          <t>02/11/2026</t>
        </is>
      </c>
      <c r="K136" s="2" t="inlineStr">
        <is>
          <t>frontend iteration2</t>
        </is>
      </c>
      <c r="L136" s="2" t="inlineStr">
        <is>
          <t>ANGI-147</t>
        </is>
      </c>
      <c r="M136" s="2" t="inlineStr"/>
      <c r="N136" s="2" t="n">
        <v>2.5</v>
      </c>
      <c r="O136" s="2" t="inlineStr">
        <is>
          <t>Medium</t>
        </is>
      </c>
    </row>
    <row r="137">
      <c r="A137" s="2" t="inlineStr">
        <is>
          <t>T084</t>
        </is>
      </c>
      <c r="B137" s="2" t="inlineStr">
        <is>
          <t>Task</t>
        </is>
      </c>
      <c r="C137" s="2" t="inlineStr">
        <is>
          <t>[FE] F-42 Report Blog</t>
        </is>
      </c>
      <c r="D137" s="2" t="inlineStr">
        <is>
          <t>Use case F-42 Report Blog (Actor: Traveler). Allows a Traveler to report a blog post they consider inappropriate or in violation of the rules. The system records the report and forwards the content to the moderation process.
Endpoint cần gọi:
- REP-02 POST /api/v1/blogs/{blogId}/reports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37" s="2" t="inlineStr">
        <is>
          <t>Đức</t>
        </is>
      </c>
      <c r="F137" s="2" t="inlineStr">
        <is>
          <t>ANGI Sprint 2</t>
        </is>
      </c>
      <c r="G137" s="2" t="inlineStr">
        <is>
          <t>EP-BLOG</t>
        </is>
      </c>
      <c r="H137" s="2" t="n">
        <v>1</v>
      </c>
      <c r="I137" s="2" t="inlineStr">
        <is>
          <t>01/11/2026</t>
        </is>
      </c>
      <c r="J137" s="2" t="inlineStr">
        <is>
          <t>02/11/2026</t>
        </is>
      </c>
      <c r="K137" s="2" t="inlineStr">
        <is>
          <t>frontend iteration2</t>
        </is>
      </c>
      <c r="L137" s="2" t="inlineStr">
        <is>
          <t>ANGI-148</t>
        </is>
      </c>
      <c r="M137" s="2" t="inlineStr"/>
      <c r="N137" s="2" t="n">
        <v>2.8</v>
      </c>
      <c r="O137" s="2" t="inlineStr">
        <is>
          <t>Medium</t>
        </is>
      </c>
    </row>
    <row r="138">
      <c r="A138" s="2" t="inlineStr">
        <is>
          <t>T056</t>
        </is>
      </c>
      <c r="B138" s="2" t="inlineStr">
        <is>
          <t>Task</t>
        </is>
      </c>
      <c r="C138" s="2" t="inlineStr">
        <is>
          <t>[FE] F-28 Delete Roadmap Item</t>
        </is>
      </c>
      <c r="D138" s="2" t="inlineStr">
        <is>
          <t>Use case F-28 Delete Roadmap Item (Actor: Traveler). Allows a Traveler to remove a dish and its corresponding place from the current roadmap. The system asks for confirmation if needed and removes the item without affecting other items.
Endpoint cần gọi:
- RM-09 DELETE /api/v1/roadmaps/{roadmapId}/items/{itemId}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38" s="2" t="inlineStr">
        <is>
          <t>Tuấn</t>
        </is>
      </c>
      <c r="F138" s="2" t="inlineStr">
        <is>
          <t>ANGI Sprint 2</t>
        </is>
      </c>
      <c r="G138" s="2" t="inlineStr">
        <is>
          <t>EP-ROAD</t>
        </is>
      </c>
      <c r="H138" s="2" t="n">
        <v>1</v>
      </c>
      <c r="I138" s="2" t="inlineStr">
        <is>
          <t>02/11/2026</t>
        </is>
      </c>
      <c r="J138" s="2" t="inlineStr">
        <is>
          <t>02/11/2026</t>
        </is>
      </c>
      <c r="K138" s="2" t="inlineStr">
        <is>
          <t>frontend iteration2</t>
        </is>
      </c>
      <c r="L138" s="2" t="inlineStr">
        <is>
          <t>ANGI-149</t>
        </is>
      </c>
      <c r="M138" s="2" t="inlineStr"/>
      <c r="N138" s="2" t="n">
        <v>2.2</v>
      </c>
      <c r="O138" s="2" t="inlineStr">
        <is>
          <t>Medium</t>
        </is>
      </c>
    </row>
    <row r="139">
      <c r="A139" s="2" t="inlineStr">
        <is>
          <t>T062</t>
        </is>
      </c>
      <c r="B139" s="2" t="inlineStr">
        <is>
          <t>Task</t>
        </is>
      </c>
      <c r="C139" s="2" t="inlineStr">
        <is>
          <t>[FE] F-31 Feedback Restaurant</t>
        </is>
      </c>
      <c r="D139" s="2" t="inlineStr">
        <is>
          <t>Use case F-31 Feedback Restaurant (Actor: Traveler). Allows a Traveler to give feedback on a restaurant based on their experience. The system stores the rating/review and updates the restaurant's rating data accordingly.
Endpoint cần gọi:
- REV-01 POST /api/v1/restaurants/{restaurantId}/reviews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39" s="2" t="inlineStr">
        <is>
          <t>Đức</t>
        </is>
      </c>
      <c r="F139" s="2" t="inlineStr">
        <is>
          <t>ANGI Sprint 2</t>
        </is>
      </c>
      <c r="G139" s="2" t="inlineStr">
        <is>
          <t>EP-FBR</t>
        </is>
      </c>
      <c r="H139" s="2" t="n">
        <v>2</v>
      </c>
      <c r="I139" s="2" t="inlineStr">
        <is>
          <t>02/11/2026</t>
        </is>
      </c>
      <c r="J139" s="2" t="inlineStr">
        <is>
          <t>02/11/2026</t>
        </is>
      </c>
      <c r="K139" s="2" t="inlineStr">
        <is>
          <t>frontend iteration2</t>
        </is>
      </c>
      <c r="L139" s="2" t="inlineStr">
        <is>
          <t>ANGI-150</t>
        </is>
      </c>
      <c r="M139" s="2" t="inlineStr"/>
      <c r="N139" s="2" t="n">
        <v>2.1</v>
      </c>
      <c r="O139" s="2" t="inlineStr">
        <is>
          <t>Medium</t>
        </is>
      </c>
    </row>
    <row r="140">
      <c r="A140" s="3" t="inlineStr">
        <is>
          <t>T064</t>
        </is>
      </c>
      <c r="B140" s="3" t="inlineStr">
        <is>
          <t>Task</t>
        </is>
      </c>
      <c r="C140" s="3" t="inlineStr">
        <is>
          <t>[FE] F-32 Reply Feedback</t>
        </is>
      </c>
      <c r="D140" s="3" t="inlineStr">
        <is>
          <t>[CRITICAL PATH] Task này nằm trên đường găng: dự phòng tối đa 1 ngày. Phải xong đúng Due Date 03/11/2026; trễ 1 ngày thì mốc "Software Package Version 2" (08/11/2026) bị trễ theo.
Ảnh hưởng trực tiếp tới: Code freeze + tích hợp Iteration 2: merge PR vào dev, chạy toàn hệ thống.
Cần xong trước khi bắt đầu: Wireframe/mockup các màn hình Iteration 2.
Làm song song với [BE] F-32 Reply Feedback (dùng mock data), nối API thật khi BE merge.
Gặp vướng thì báo ngay trong ngày cho Dũng (PM), không đợi họp.
Use case F-32 Reply Feedback (Actor: Restaurant Owner). Allows a Restaurant Owner to reply to users' feedback/reviews on their restaurant. The system stores the reply and displays it according to the platform's display rules.
Endpoint cần gọi:
- OWN-19 GET /api/v1/owner/restaurant/reviews
- OWN-20 PUT /api/v1/owner/restaurant/reviews/{reviewId}/reply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40" s="3" t="inlineStr">
        <is>
          <t>Đức</t>
        </is>
      </c>
      <c r="F140" s="3" t="inlineStr">
        <is>
          <t>ANGI Sprint 2</t>
        </is>
      </c>
      <c r="G140" s="3" t="inlineStr">
        <is>
          <t>EP-FBR</t>
        </is>
      </c>
      <c r="H140" s="3" t="n">
        <v>2</v>
      </c>
      <c r="I140" s="3" t="inlineStr">
        <is>
          <t>02/11/2026</t>
        </is>
      </c>
      <c r="J140" s="3" t="inlineStr">
        <is>
          <t>03/11/2026</t>
        </is>
      </c>
      <c r="K140" s="3" t="inlineStr">
        <is>
          <t>frontend iteration2 critical-path</t>
        </is>
      </c>
      <c r="L140" s="3" t="inlineStr">
        <is>
          <t>ANGI-151</t>
        </is>
      </c>
      <c r="M140" s="3" t="inlineStr">
        <is>
          <t>Có</t>
        </is>
      </c>
      <c r="N140" s="3" t="n">
        <v>1.4</v>
      </c>
      <c r="O140" s="3" t="inlineStr">
        <is>
          <t>Highest</t>
        </is>
      </c>
    </row>
    <row r="141">
      <c r="A141" s="2" t="inlineStr">
        <is>
          <t>T060</t>
        </is>
      </c>
      <c r="B141" s="2" t="inlineStr">
        <is>
          <t>Task</t>
        </is>
      </c>
      <c r="C141" s="2" t="inlineStr">
        <is>
          <t>[FE] F-30 Rate Dish</t>
        </is>
      </c>
      <c r="D141" s="2" t="inlineStr">
        <is>
          <t>Use case F-30 Rate Dish (Actor: Traveler). Allows a Traveler to rate how much they like a dish after interacting with or trying it. The system stores the user's rating (like/dislike) and uses it as implicit/explicit feedback to personalize recommendations.
Endpoint cần gọi:
- RM-13 POST /api/v1/roadmaps/{roadmapId}/items/{itemId}/feedback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41" s="2" t="inlineStr">
        <is>
          <t>Tuấn</t>
        </is>
      </c>
      <c r="F141" s="2" t="inlineStr">
        <is>
          <t>ANGI Sprint 2</t>
        </is>
      </c>
      <c r="G141" s="2" t="inlineStr">
        <is>
          <t>EP-ROAD</t>
        </is>
      </c>
      <c r="H141" s="2" t="n">
        <v>2</v>
      </c>
      <c r="I141" s="2" t="inlineStr">
        <is>
          <t>02/11/2026</t>
        </is>
      </c>
      <c r="J141" s="2" t="inlineStr">
        <is>
          <t>03/11/2026</t>
        </is>
      </c>
      <c r="K141" s="2" t="inlineStr">
        <is>
          <t>frontend iteration2</t>
        </is>
      </c>
      <c r="L141" s="2" t="inlineStr">
        <is>
          <t>ANGI-152</t>
        </is>
      </c>
      <c r="M141" s="2" t="inlineStr"/>
      <c r="N141" s="2" t="n">
        <v>1.6</v>
      </c>
      <c r="O141" s="2" t="inlineStr">
        <is>
          <t>Medium</t>
        </is>
      </c>
    </row>
    <row r="142">
      <c r="A142" s="3" t="inlineStr">
        <is>
          <t>T046</t>
        </is>
      </c>
      <c r="B142" s="3" t="inlineStr">
        <is>
          <t>Task</t>
        </is>
      </c>
      <c r="C142" s="3" t="inlineStr">
        <is>
          <t>[FE] F-23 Share My Roadmap</t>
        </is>
      </c>
      <c r="D142" s="3" t="inlineStr">
        <is>
          <t>[CRITICAL PATH] Task này nằm trên đường găng: dự phòng tối đa 1 ngày. Phải xong đúng Due Date 03/11/2026; trễ 1 ngày thì mốc "Software Package Version 2" (08/11/2026) bị trễ theo.
Ảnh hưởng trực tiếp tới: Code freeze + tích hợp Iteration 2: merge PR vào dev, chạy toàn hệ thống.
Cần xong trước khi bắt đầu: Wireframe/mockup các màn hình Iteration 2.
Làm song song với [BE] F-23 Share My Roadmap (dùng mock data), nối API thật khi BE merge.
Gặp vướng thì báo ngay trong ngày cho Dũng (PM), không đợi họp.
Use case F-23 Share My Roadmap (Actor: Traveler). Allows a Traveler to share their roadmap with others through the sharing mechanism provided by the system. The user writes a blog post about the roadmap (UC Write Blog) before it is shared with the community.
Endpoint cần gọi:
- BLOG-04 POST /api/v1/blogs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42" s="3" t="inlineStr">
        <is>
          <t>Tuấn</t>
        </is>
      </c>
      <c r="F142" s="3" t="inlineStr">
        <is>
          <t>ANGI Sprint 2</t>
        </is>
      </c>
      <c r="G142" s="3" t="inlineStr">
        <is>
          <t>EP-ROAD</t>
        </is>
      </c>
      <c r="H142" s="3" t="n">
        <v>2</v>
      </c>
      <c r="I142" s="3" t="inlineStr">
        <is>
          <t>03/11/2026</t>
        </is>
      </c>
      <c r="J142" s="3" t="inlineStr">
        <is>
          <t>03/11/2026</t>
        </is>
      </c>
      <c r="K142" s="3" t="inlineStr">
        <is>
          <t>frontend iteration2 critical-path</t>
        </is>
      </c>
      <c r="L142" s="3" t="inlineStr">
        <is>
          <t>ANGI-153</t>
        </is>
      </c>
      <c r="M142" s="3" t="inlineStr">
        <is>
          <t>Có</t>
        </is>
      </c>
      <c r="N142" s="3" t="n">
        <v>1</v>
      </c>
      <c r="O142" s="3" t="inlineStr">
        <is>
          <t>Highest</t>
        </is>
      </c>
    </row>
    <row r="143">
      <c r="A143" s="3" t="inlineStr">
        <is>
          <t>T066</t>
        </is>
      </c>
      <c r="B143" s="3" t="inlineStr">
        <is>
          <t>Task</t>
        </is>
      </c>
      <c r="C143" s="3" t="inlineStr">
        <is>
          <t>[FE] F-33 Report Restaurant</t>
        </is>
      </c>
      <c r="D143" s="3" t="inlineStr">
        <is>
          <t>[CRITICAL PATH] Task này nằm trên đường găng: dự phòng tối đa 1 ngày. Phải xong đúng Due Date 03/11/2026; trễ 1 ngày thì mốc "Software Package Version 2" (08/11/2026) bị trễ theo.
Ảnh hưởng trực tiếp tới: Code freeze + tích hợp Iteration 2: merge PR vào dev, chạy toàn hệ thống.
Cần xong trước khi bắt đầu: Wireframe/mockup các màn hình Iteration 2.
Làm song song với [BE] F-33 Report Restaurant (dùng mock data), nối API thật khi BE merge.
Gặp vướng thì báo ngay trong ngày cho Dũng (PM), không đợi họp.
Use case F-33 Report Restaurant (Actor: Traveler). Allows a Traveler to report a restaurant when they find incorrect information, inappropriate behavior, or other issues that need to be reviewed. The system records the report and forwards it to the handling process.
Endpoint cần gọi:
- REP-01 POST /api/v1/restaurants/{restaurantId}/reports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43" s="3" t="inlineStr">
        <is>
          <t>Đức</t>
        </is>
      </c>
      <c r="F143" s="3" t="inlineStr">
        <is>
          <t>ANGI Sprint 2</t>
        </is>
      </c>
      <c r="G143" s="3" t="inlineStr">
        <is>
          <t>EP-FBR</t>
        </is>
      </c>
      <c r="H143" s="3" t="n">
        <v>1</v>
      </c>
      <c r="I143" s="3" t="inlineStr">
        <is>
          <t>03/11/2026</t>
        </is>
      </c>
      <c r="J143" s="3" t="inlineStr">
        <is>
          <t>03/11/2026</t>
        </is>
      </c>
      <c r="K143" s="3" t="inlineStr">
        <is>
          <t>frontend iteration2 critical-path</t>
        </is>
      </c>
      <c r="L143" s="3" t="inlineStr">
        <is>
          <t>ANGI-154</t>
        </is>
      </c>
      <c r="M143" s="3" t="inlineStr">
        <is>
          <t>Có</t>
        </is>
      </c>
      <c r="N143" s="3" t="n">
        <v>1</v>
      </c>
      <c r="O143" s="3" t="inlineStr">
        <is>
          <t>Highest</t>
        </is>
      </c>
    </row>
    <row r="144">
      <c r="A144" s="2" t="inlineStr">
        <is>
          <t>T164</t>
        </is>
      </c>
      <c r="B144" s="2" t="inlineStr">
        <is>
          <t>Task</t>
        </is>
      </c>
      <c r="C144" s="2" t="inlineStr">
        <is>
          <t>Unit Testing Report Iteration 2</t>
        </is>
      </c>
      <c r="D144" s="2" t="inlineStr">
        <is>
          <t>Mỗi dev tối thiểu 2 method/module; Trọng tổng hợp.</t>
        </is>
      </c>
      <c r="E144" s="2" t="inlineStr">
        <is>
          <t>Trọng</t>
        </is>
      </c>
      <c r="F144" s="2" t="inlineStr">
        <is>
          <t>ANGI Sprint 2</t>
        </is>
      </c>
      <c r="G144" s="2" t="inlineStr">
        <is>
          <t>EP-DOC</t>
        </is>
      </c>
      <c r="H144" s="2" t="n">
        <v>1</v>
      </c>
      <c r="I144" s="2" t="inlineStr">
        <is>
          <t>03/11/2026</t>
        </is>
      </c>
      <c r="J144" s="2" t="inlineStr">
        <is>
          <t>03/11/2026</t>
        </is>
      </c>
      <c r="K144" s="2" t="inlineStr">
        <is>
          <t>docs</t>
        </is>
      </c>
      <c r="L144" s="2" t="inlineStr">
        <is>
          <t>ANGI-155</t>
        </is>
      </c>
      <c r="M144" s="2" t="inlineStr"/>
      <c r="N144" s="2" t="n">
        <v>40</v>
      </c>
      <c r="O144" s="2" t="inlineStr">
        <is>
          <t>Medium</t>
        </is>
      </c>
    </row>
    <row r="145">
      <c r="A145" s="3" t="inlineStr">
        <is>
          <t>T177</t>
        </is>
      </c>
      <c r="B145" s="3" t="inlineStr">
        <is>
          <t>Task</t>
        </is>
      </c>
      <c r="C145" s="3" t="inlineStr">
        <is>
          <t>Report 5: Integration Test Cases Iteration 2</t>
        </is>
      </c>
      <c r="D145" s="3" t="inlineStr">
        <is>
          <t>[CRITICAL PATH] Task này nằm trên đường găng: dự phòng tối đa 1 ngày. Phải xong đúng Due Date 04/11/2026; trễ 1 ngày thì mốc "Software Package Version 2" (08/11/2026) bị trễ theo.
Ảnh hưởng trực tiếp tới: Report 5: Integration Test Report Iteration 2.
Gặp vướng thì báo ngay trong ngày cho Dũng (PM), không đợi họp.
Viết theo use case Iteration 2 (ANGI_Use_Case_Basic_Descriptions_Ver1.0) và endpoint tương ứng (ANGI_API_Design_Ver1.7).</t>
        </is>
      </c>
      <c r="E145" s="3" t="inlineStr">
        <is>
          <t>Đức</t>
        </is>
      </c>
      <c r="F145" s="3" t="inlineStr">
        <is>
          <t>ANGI Sprint 2</t>
        </is>
      </c>
      <c r="G145" s="3" t="inlineStr">
        <is>
          <t>EP-QA</t>
        </is>
      </c>
      <c r="H145" s="3" t="n">
        <v>2</v>
      </c>
      <c r="I145" s="3" t="inlineStr">
        <is>
          <t>03/11/2026</t>
        </is>
      </c>
      <c r="J145" s="3" t="inlineStr">
        <is>
          <t>04/11/2026</t>
        </is>
      </c>
      <c r="K145" s="3" t="inlineStr">
        <is>
          <t>qa critical-path</t>
        </is>
      </c>
      <c r="L145" s="3" t="inlineStr">
        <is>
          <t>ANGI-156</t>
        </is>
      </c>
      <c r="M145" s="3" t="inlineStr">
        <is>
          <t>Có</t>
        </is>
      </c>
      <c r="N145" s="3" t="n">
        <v>1</v>
      </c>
      <c r="O145" s="3" t="inlineStr">
        <is>
          <t>Highest</t>
        </is>
      </c>
    </row>
    <row r="146">
      <c r="A146" s="3" t="inlineStr">
        <is>
          <t>T172</t>
        </is>
      </c>
      <c r="B146" s="3" t="inlineStr">
        <is>
          <t>Task</t>
        </is>
      </c>
      <c r="C146" s="3" t="inlineStr">
        <is>
          <t>Code freeze + tích hợp Iteration 2: merge PR vào dev, chạy toàn hệ thống</t>
        </is>
      </c>
      <c r="D146" s="3" t="inlineStr">
        <is>
          <t>[CRITICAL PATH] Task này nằm trên đường găng: dự phòng tối đa 1 ngày. Phải xong đúng Due Date 04/11/2026; trễ 1 ngày thì mốc "Software Package Version 2" (08/11/2026) bị trễ theo.
Ảnh hưởng trực tiếp tới: Report 5: Integration Test Report Iteration 2.
Cần xong trước khi bắt đầu: toàn bộ 55 task code (BE, FE, Reco) của ANGI Sprint 2.
Gặp vướng thì báo ngay trong ngày cho Dũng (PM), không đợi họp.
Hết ngày code due mọi PR của iteration phải được review và merge vào dev. Ngày này: merge PR còn lại, khóa dev (chỉ nhận PR fix bug), chạy backend + reco + frontend từ dev, smoke test các luồng chính, gắn tag iteration-2. Sau đó Đức/Trọng chạy integration test; lỗi tìm được tạo issue Bug giao cho người làm feature đó, sửa trước ngày phát hành bản của iteration.</t>
        </is>
      </c>
      <c r="E146" s="3" t="inlineStr">
        <is>
          <t>Dũng</t>
        </is>
      </c>
      <c r="F146" s="3" t="inlineStr">
        <is>
          <t>ANGI Sprint 2</t>
        </is>
      </c>
      <c r="G146" s="3" t="inlineStr">
        <is>
          <t>EP-QA</t>
        </is>
      </c>
      <c r="H146" s="3" t="n">
        <v>2</v>
      </c>
      <c r="I146" s="3" t="inlineStr">
        <is>
          <t>04/11/2026</t>
        </is>
      </c>
      <c r="J146" s="3" t="inlineStr">
        <is>
          <t>04/11/2026</t>
        </is>
      </c>
      <c r="K146" s="3" t="inlineStr">
        <is>
          <t>release critical-path</t>
        </is>
      </c>
      <c r="L146" s="3" t="inlineStr">
        <is>
          <t>ANGI-157</t>
        </is>
      </c>
      <c r="M146" s="3" t="inlineStr">
        <is>
          <t>Có</t>
        </is>
      </c>
      <c r="N146" s="3" t="n">
        <v>1</v>
      </c>
      <c r="O146" s="3" t="inlineStr">
        <is>
          <t>Highest</t>
        </is>
      </c>
    </row>
    <row r="147">
      <c r="A147" s="3" t="inlineStr">
        <is>
          <t>T178</t>
        </is>
      </c>
      <c r="B147" s="3" t="inlineStr">
        <is>
          <t>Task</t>
        </is>
      </c>
      <c r="C147" s="3" t="inlineStr">
        <is>
          <t>Report 5: Integration Test Report Iteration 2</t>
        </is>
      </c>
      <c r="D147" s="3" t="inlineStr">
        <is>
          <t>[CRITICAL PATH] Task này nằm trên đường găng: dự phòng tối đa 1 ngày. Phải xong đúng Due Date 06/11/2026; trễ 1 ngày thì mốc "Software Package Version 2" (08/11/2026) bị trễ theo.
Ảnh hưởng trực tiếp tới: Software Package Version 2 (deploy + release note).
Cần xong trước khi bắt đầu: Code freeze + tích hợp Iteration 2: merge PR vào dev, chạy toàn hệ thống; Report 5: Integration Test Cases Iteration 2.
Gặp vướng thì báo ngay trong ngày cho Dũng (PM), không đợi họp.
Chạy test case trên bản tag iteration-2; lỗi tạo issue Bug.</t>
        </is>
      </c>
      <c r="E147" s="3" t="inlineStr">
        <is>
          <t>Trọng</t>
        </is>
      </c>
      <c r="F147" s="3" t="inlineStr">
        <is>
          <t>ANGI Sprint 2</t>
        </is>
      </c>
      <c r="G147" s="3" t="inlineStr">
        <is>
          <t>EP-QA</t>
        </is>
      </c>
      <c r="H147" s="3" t="n">
        <v>2</v>
      </c>
      <c r="I147" s="3" t="inlineStr">
        <is>
          <t>05/11/2026</t>
        </is>
      </c>
      <c r="J147" s="3" t="inlineStr">
        <is>
          <t>06/11/2026</t>
        </is>
      </c>
      <c r="K147" s="3" t="inlineStr">
        <is>
          <t>qa critical-path</t>
        </is>
      </c>
      <c r="L147" s="3" t="inlineStr">
        <is>
          <t>ANGI-158</t>
        </is>
      </c>
      <c r="M147" s="3" t="inlineStr">
        <is>
          <t>Có</t>
        </is>
      </c>
      <c r="N147" s="3" t="n">
        <v>1</v>
      </c>
      <c r="O147" s="3" t="inlineStr">
        <is>
          <t>Highest</t>
        </is>
      </c>
    </row>
    <row r="148">
      <c r="A148" s="3" t="inlineStr">
        <is>
          <t>T201</t>
        </is>
      </c>
      <c r="B148" s="3" t="inlineStr">
        <is>
          <t>Task</t>
        </is>
      </c>
      <c r="C148" s="3" t="inlineStr">
        <is>
          <t>Fix bug integration test Iteration 2 (backend)</t>
        </is>
      </c>
      <c r="D148" s="3" t="inlineStr">
        <is>
          <t>[CRITICAL PATH] Task này nằm trên đường găng: dự phòng tối đa 1 ngày. Phải xong đúng Due Date 07/11/2026; trễ 1 ngày thì mốc "Software Package Version 2" (08/11/2026) bị trễ theo.
Ảnh hưởng trực tiếp tới: Software Package Version 2 (deploy + release note).
Gặp vướng thì báo ngay trong ngày cho Dũng (PM), không đợi họp.
Sửa các Bug tạo ra từ Integration Test Iteration 2 thuộc phần mình làm, merge vào dev trước ngày phát hành Software Package V2. Không có bug thì đóng task.</t>
        </is>
      </c>
      <c r="E148" s="3" t="inlineStr">
        <is>
          <t>Hưng</t>
        </is>
      </c>
      <c r="F148" s="3" t="inlineStr">
        <is>
          <t>ANGI Sprint 2</t>
        </is>
      </c>
      <c r="G148" s="3" t="inlineStr">
        <is>
          <t>EP-QA</t>
        </is>
      </c>
      <c r="H148" s="3" t="n">
        <v>1</v>
      </c>
      <c r="I148" s="3" t="inlineStr">
        <is>
          <t>05/11/2026</t>
        </is>
      </c>
      <c r="J148" s="3" t="inlineStr">
        <is>
          <t>07/11/2026</t>
        </is>
      </c>
      <c r="K148" s="3" t="inlineStr">
        <is>
          <t>bugfix critical-path</t>
        </is>
      </c>
      <c r="L148" s="3" t="inlineStr">
        <is>
          <t>ANGI-159</t>
        </is>
      </c>
      <c r="M148" s="3" t="inlineStr">
        <is>
          <t>Có</t>
        </is>
      </c>
      <c r="N148" s="3" t="n">
        <v>0</v>
      </c>
      <c r="O148" s="3" t="inlineStr">
        <is>
          <t>Highest</t>
        </is>
      </c>
    </row>
    <row r="149">
      <c r="A149" s="3" t="inlineStr">
        <is>
          <t>T202</t>
        </is>
      </c>
      <c r="B149" s="3" t="inlineStr">
        <is>
          <t>Task</t>
        </is>
      </c>
      <c r="C149" s="3" t="inlineStr">
        <is>
          <t>Fix bug integration test Iteration 2 (backend)</t>
        </is>
      </c>
      <c r="D149" s="3" t="inlineStr">
        <is>
          <t>[CRITICAL PATH] Task này nằm trên đường găng: dự phòng tối đa 1 ngày. Phải xong đúng Due Date 07/11/2026; trễ 1 ngày thì mốc "Software Package Version 2" (08/11/2026) bị trễ theo.
Ảnh hưởng trực tiếp tới: Software Package Version 2 (deploy + release note).
Gặp vướng thì báo ngay trong ngày cho Dũng (PM), không đợi họp.
Sửa các Bug tạo ra từ Integration Test Iteration 2 thuộc phần mình làm, merge vào dev trước ngày phát hành Software Package V2. Không có bug thì đóng task.</t>
        </is>
      </c>
      <c r="E149" s="3" t="inlineStr">
        <is>
          <t>Trọng</t>
        </is>
      </c>
      <c r="F149" s="3" t="inlineStr">
        <is>
          <t>ANGI Sprint 2</t>
        </is>
      </c>
      <c r="G149" s="3" t="inlineStr">
        <is>
          <t>EP-QA</t>
        </is>
      </c>
      <c r="H149" s="3" t="n">
        <v>1</v>
      </c>
      <c r="I149" s="3" t="inlineStr">
        <is>
          <t>05/11/2026</t>
        </is>
      </c>
      <c r="J149" s="3" t="inlineStr">
        <is>
          <t>07/11/2026</t>
        </is>
      </c>
      <c r="K149" s="3" t="inlineStr">
        <is>
          <t>bugfix critical-path</t>
        </is>
      </c>
      <c r="L149" s="3" t="inlineStr">
        <is>
          <t>ANGI-160</t>
        </is>
      </c>
      <c r="M149" s="3" t="inlineStr">
        <is>
          <t>Có</t>
        </is>
      </c>
      <c r="N149" s="3" t="n">
        <v>0</v>
      </c>
      <c r="O149" s="3" t="inlineStr">
        <is>
          <t>Highest</t>
        </is>
      </c>
    </row>
    <row r="150">
      <c r="A150" s="3" t="inlineStr">
        <is>
          <t>T203</t>
        </is>
      </c>
      <c r="B150" s="3" t="inlineStr">
        <is>
          <t>Task</t>
        </is>
      </c>
      <c r="C150" s="3" t="inlineStr">
        <is>
          <t>Fix bug integration test Iteration 2 (frontend)</t>
        </is>
      </c>
      <c r="D150" s="3" t="inlineStr">
        <is>
          <t>[CRITICAL PATH] Task này nằm trên đường găng: dự phòng tối đa 1 ngày. Phải xong đúng Due Date 07/11/2026; trễ 1 ngày thì mốc "Software Package Version 2" (08/11/2026) bị trễ theo.
Ảnh hưởng trực tiếp tới: Software Package Version 2 (deploy + release note).
Gặp vướng thì báo ngay trong ngày cho Dũng (PM), không đợi họp.
Sửa các Bug tạo ra từ Integration Test Iteration 2 thuộc phần mình làm, merge vào dev trước ngày phát hành Software Package V2. Không có bug thì đóng task.</t>
        </is>
      </c>
      <c r="E150" s="3" t="inlineStr">
        <is>
          <t>Tuấn</t>
        </is>
      </c>
      <c r="F150" s="3" t="inlineStr">
        <is>
          <t>ANGI Sprint 2</t>
        </is>
      </c>
      <c r="G150" s="3" t="inlineStr">
        <is>
          <t>EP-QA</t>
        </is>
      </c>
      <c r="H150" s="3" t="n">
        <v>1</v>
      </c>
      <c r="I150" s="3" t="inlineStr">
        <is>
          <t>05/11/2026</t>
        </is>
      </c>
      <c r="J150" s="3" t="inlineStr">
        <is>
          <t>07/11/2026</t>
        </is>
      </c>
      <c r="K150" s="3" t="inlineStr">
        <is>
          <t>bugfix critical-path</t>
        </is>
      </c>
      <c r="L150" s="3" t="inlineStr">
        <is>
          <t>ANGI-161</t>
        </is>
      </c>
      <c r="M150" s="3" t="inlineStr">
        <is>
          <t>Có</t>
        </is>
      </c>
      <c r="N150" s="3" t="n">
        <v>0</v>
      </c>
      <c r="O150" s="3" t="inlineStr">
        <is>
          <t>Highest</t>
        </is>
      </c>
    </row>
    <row r="151">
      <c r="A151" s="3" t="inlineStr">
        <is>
          <t>T204</t>
        </is>
      </c>
      <c r="B151" s="3" t="inlineStr">
        <is>
          <t>Task</t>
        </is>
      </c>
      <c r="C151" s="3" t="inlineStr">
        <is>
          <t>Fix bug integration test Iteration 2 (frontend)</t>
        </is>
      </c>
      <c r="D151" s="3" t="inlineStr">
        <is>
          <t>[CRITICAL PATH] Task này nằm trên đường găng: dự phòng tối đa 1 ngày. Phải xong đúng Due Date 07/11/2026; trễ 1 ngày thì mốc "Software Package Version 2" (08/11/2026) bị trễ theo.
Ảnh hưởng trực tiếp tới: Software Package Version 2 (deploy + release note).
Gặp vướng thì báo ngay trong ngày cho Dũng (PM), không đợi họp.
Sửa các Bug tạo ra từ Integration Test Iteration 2 thuộc phần mình làm, merge vào dev trước ngày phát hành Software Package V2. Không có bug thì đóng task.</t>
        </is>
      </c>
      <c r="E151" s="3" t="inlineStr">
        <is>
          <t>Đức</t>
        </is>
      </c>
      <c r="F151" s="3" t="inlineStr">
        <is>
          <t>ANGI Sprint 2</t>
        </is>
      </c>
      <c r="G151" s="3" t="inlineStr">
        <is>
          <t>EP-QA</t>
        </is>
      </c>
      <c r="H151" s="3" t="n">
        <v>1</v>
      </c>
      <c r="I151" s="3" t="inlineStr">
        <is>
          <t>05/11/2026</t>
        </is>
      </c>
      <c r="J151" s="3" t="inlineStr">
        <is>
          <t>07/11/2026</t>
        </is>
      </c>
      <c r="K151" s="3" t="inlineStr">
        <is>
          <t>bugfix critical-path</t>
        </is>
      </c>
      <c r="L151" s="3" t="inlineStr">
        <is>
          <t>ANGI-162</t>
        </is>
      </c>
      <c r="M151" s="3" t="inlineStr">
        <is>
          <t>Có</t>
        </is>
      </c>
      <c r="N151" s="3" t="n">
        <v>0</v>
      </c>
      <c r="O151" s="3" t="inlineStr">
        <is>
          <t>Highest</t>
        </is>
      </c>
    </row>
    <row r="152">
      <c r="A152" s="3" t="inlineStr">
        <is>
          <t>T205</t>
        </is>
      </c>
      <c r="B152" s="3" t="inlineStr">
        <is>
          <t>Task</t>
        </is>
      </c>
      <c r="C152" s="3" t="inlineStr">
        <is>
          <t>Fix bug integration test Iteration 2 (reco + hạ tầng)</t>
        </is>
      </c>
      <c r="D152" s="3" t="inlineStr">
        <is>
          <t>[CRITICAL PATH] Task này nằm trên đường găng: dự phòng tối đa 1 ngày. Phải xong đúng Due Date 07/11/2026; trễ 1 ngày thì mốc "Software Package Version 2" (08/11/2026) bị trễ theo.
Ảnh hưởng trực tiếp tới: Software Package Version 2 (deploy + release note).
Gặp vướng thì báo ngay trong ngày cho Dũng (PM), không đợi họp.
Sửa các Bug tạo ra từ Integration Test Iteration 2 thuộc phần mình làm, merge vào dev trước ngày phát hành Software Package V2. Không có bug thì đóng task.</t>
        </is>
      </c>
      <c r="E152" s="3" t="inlineStr">
        <is>
          <t>Dũng</t>
        </is>
      </c>
      <c r="F152" s="3" t="inlineStr">
        <is>
          <t>ANGI Sprint 2</t>
        </is>
      </c>
      <c r="G152" s="3" t="inlineStr">
        <is>
          <t>EP-QA</t>
        </is>
      </c>
      <c r="H152" s="3" t="n">
        <v>1</v>
      </c>
      <c r="I152" s="3" t="inlineStr">
        <is>
          <t>05/11/2026</t>
        </is>
      </c>
      <c r="J152" s="3" t="inlineStr">
        <is>
          <t>07/11/2026</t>
        </is>
      </c>
      <c r="K152" s="3" t="inlineStr">
        <is>
          <t>bugfix critical-path</t>
        </is>
      </c>
      <c r="L152" s="3" t="inlineStr">
        <is>
          <t>ANGI-163</t>
        </is>
      </c>
      <c r="M152" s="3" t="inlineStr">
        <is>
          <t>Có</t>
        </is>
      </c>
      <c r="N152" s="3" t="n">
        <v>0</v>
      </c>
      <c r="O152" s="3" t="inlineStr">
        <is>
          <t>Highest</t>
        </is>
      </c>
    </row>
    <row r="153">
      <c r="A153" s="2" t="inlineStr">
        <is>
          <t>T195</t>
        </is>
      </c>
      <c r="B153" s="2" t="inlineStr">
        <is>
          <t>Task</t>
        </is>
      </c>
      <c r="C153" s="2" t="inlineStr">
        <is>
          <t>Wireframe/mockup các màn hình Iteration 3</t>
        </is>
      </c>
      <c r="D153" s="2" t="inlineStr">
        <is>
          <t>Theo các use case Iteration 3 trong ANGI_Use_Case_Basic_Descriptions_Ver1.0 (Moderation, Administration). Tuấn duyệt phần Admin.</t>
        </is>
      </c>
      <c r="E153" s="2" t="inlineStr">
        <is>
          <t>Đức</t>
        </is>
      </c>
      <c r="F153" s="2" t="inlineStr">
        <is>
          <t>ANGI Sprint 2</t>
        </is>
      </c>
      <c r="G153" s="2" t="inlineStr">
        <is>
          <t>EP-SETUP</t>
        </is>
      </c>
      <c r="H153" s="2" t="n">
        <v>3</v>
      </c>
      <c r="I153" s="2" t="inlineStr">
        <is>
          <t>05/11/2026</t>
        </is>
      </c>
      <c r="J153" s="2" t="inlineStr">
        <is>
          <t>08/11/2026</t>
        </is>
      </c>
      <c r="K153" s="2" t="inlineStr">
        <is>
          <t>frontend</t>
        </is>
      </c>
      <c r="L153" s="2" t="inlineStr">
        <is>
          <t>ANGI-164</t>
        </is>
      </c>
      <c r="M153" s="2" t="inlineStr"/>
      <c r="N153" s="2" t="n">
        <v>8</v>
      </c>
      <c r="O153" s="2" t="inlineStr">
        <is>
          <t>Medium</t>
        </is>
      </c>
    </row>
    <row r="154">
      <c r="A154" s="2" t="inlineStr">
        <is>
          <t>T165</t>
        </is>
      </c>
      <c r="B154" s="2" t="inlineStr">
        <is>
          <t>Task</t>
        </is>
      </c>
      <c r="C154" s="2" t="inlineStr">
        <is>
          <t>Report 3: SRS v1.2 (Detailed Requirements Iteration 3)</t>
        </is>
      </c>
      <c r="D154" s="2" t="inlineStr">
        <is>
          <t>Cả team cùng viết, mỗi người viết phần module/feature mình làm. Dũng tổng hợp và duyệt cuối.</t>
        </is>
      </c>
      <c r="E154" s="2" t="inlineStr">
        <is>
          <t>Dũng</t>
        </is>
      </c>
      <c r="F154" s="2" t="inlineStr">
        <is>
          <t>ANGI Sprint 2</t>
        </is>
      </c>
      <c r="G154" s="2" t="inlineStr">
        <is>
          <t>EP-DOC</t>
        </is>
      </c>
      <c r="H154" s="2" t="n">
        <v>2</v>
      </c>
      <c r="I154" s="2" t="inlineStr">
        <is>
          <t>06/11/2026</t>
        </is>
      </c>
      <c r="J154" s="2" t="inlineStr">
        <is>
          <t>07/11/2026</t>
        </is>
      </c>
      <c r="K154" s="2" t="inlineStr">
        <is>
          <t>docs</t>
        </is>
      </c>
      <c r="L154" s="2" t="inlineStr">
        <is>
          <t>ANGI-165</t>
        </is>
      </c>
      <c r="M154" s="2" t="inlineStr"/>
      <c r="N154" s="2" t="n">
        <v>36</v>
      </c>
      <c r="O154" s="2" t="inlineStr">
        <is>
          <t>Medium</t>
        </is>
      </c>
    </row>
    <row r="155">
      <c r="A155" s="3" t="inlineStr">
        <is>
          <t>T179</t>
        </is>
      </c>
      <c r="B155" s="3" t="inlineStr">
        <is>
          <t>Task</t>
        </is>
      </c>
      <c r="C155" s="3" t="inlineStr">
        <is>
          <t>Software Package Version 2 (deploy + release note)</t>
        </is>
      </c>
      <c r="D155" s="3" t="inlineStr">
        <is>
          <t>[CRITICAL PATH] Task này nằm trên đường găng: dự phòng tối đa 1 ngày. Phải xong đúng Due Date 08/11/2026; trễ 1 ngày thì đây chính là mốc giao nộp.
Cần xong trước khi bắt đầu: Report 5: Integration Test Report Iteration 2; Fix bug integration test Iteration 2 (backend); Fix bug integration test Iteration 2 (backend); Fix bug integration test Iteration 2 (frontend); Fix bug integration test Iteration 2 (frontend); Fix bug integration test Iteration 2 (reco + hạ tầng).
Gặp vướng thì báo ngay trong ngày cho Dũng (PM), không đợi họp.
Deploy bản của iteration từ tag iteration-2 lên Render (backend, reco, PostgreSQL) và Vercel (frontend); viết release note liệt kê feature đã xong và lỗi còn tồn.</t>
        </is>
      </c>
      <c r="E155" s="3" t="inlineStr">
        <is>
          <t>Dũng</t>
        </is>
      </c>
      <c r="F155" s="3" t="inlineStr">
        <is>
          <t>ANGI Sprint 2</t>
        </is>
      </c>
      <c r="G155" s="3" t="inlineStr">
        <is>
          <t>EP-QA</t>
        </is>
      </c>
      <c r="H155" s="3" t="n">
        <v>1</v>
      </c>
      <c r="I155" s="3" t="inlineStr">
        <is>
          <t>08/11/2026</t>
        </is>
      </c>
      <c r="J155" s="3" t="inlineStr">
        <is>
          <t>08/11/2026</t>
        </is>
      </c>
      <c r="K155" s="3" t="inlineStr">
        <is>
          <t>release critical-path</t>
        </is>
      </c>
      <c r="L155" s="3" t="inlineStr">
        <is>
          <t>ANGI-166</t>
        </is>
      </c>
      <c r="M155" s="3" t="inlineStr">
        <is>
          <t>Có</t>
        </is>
      </c>
      <c r="N155" s="3" t="n">
        <v>0</v>
      </c>
      <c r="O155" s="3" t="inlineStr">
        <is>
          <t>Highest</t>
        </is>
      </c>
    </row>
    <row r="156">
      <c r="A156" s="2" t="inlineStr">
        <is>
          <t>T103</t>
        </is>
      </c>
      <c r="B156" s="2" t="inlineStr">
        <is>
          <t>Task</t>
        </is>
      </c>
      <c r="C156" s="2" t="inlineStr">
        <is>
          <t>[BE] F-52 Moderate User</t>
        </is>
      </c>
      <c r="D156" s="2" t="inlineStr">
        <is>
          <t>Use case F-52 Moderate User (Actor: Mod). Allows a Mod to review and handle user accounts when violations or issues requiring moderation are detected. The system provides the necessary information and allows the Mod to perform the actions they are authorized for.
Endpoint cần làm:
- MOD-U1 GET /api/v1/mod/users
- MOD-U2 GET /api/v1/mod/users/{userId}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56" s="2" t="inlineStr">
        <is>
          <t>Trọng</t>
        </is>
      </c>
      <c r="F156" s="2" t="inlineStr">
        <is>
          <t>ANGI Sprint 3</t>
        </is>
      </c>
      <c r="G156" s="2" t="inlineStr">
        <is>
          <t>EP-MOD</t>
        </is>
      </c>
      <c r="H156" s="2" t="n">
        <v>2</v>
      </c>
      <c r="I156" s="2" t="inlineStr">
        <is>
          <t>09/11/2026</t>
        </is>
      </c>
      <c r="J156" s="2" t="inlineStr">
        <is>
          <t>09/11/2026</t>
        </is>
      </c>
      <c r="K156" s="2" t="inlineStr">
        <is>
          <t>backend iteration3</t>
        </is>
      </c>
      <c r="L156" s="2" t="inlineStr">
        <is>
          <t>ANGI-167</t>
        </is>
      </c>
      <c r="M156" s="2" t="inlineStr"/>
      <c r="N156" s="2" t="n">
        <v>7.4</v>
      </c>
      <c r="O156" s="2" t="inlineStr">
        <is>
          <t>Medium</t>
        </is>
      </c>
    </row>
    <row r="157">
      <c r="A157" s="2" t="inlineStr">
        <is>
          <t>T104</t>
        </is>
      </c>
      <c r="B157" s="2" t="inlineStr">
        <is>
          <t>Task</t>
        </is>
      </c>
      <c r="C157" s="2" t="inlineStr">
        <is>
          <t>[FE] F-52 Moderate User</t>
        </is>
      </c>
      <c r="D157" s="2" t="inlineStr">
        <is>
          <t>Use case F-52 Moderate User (Actor: Mod). Allows a Mod to review and handle user accounts when violations or issues requiring moderation are detected. The system provides the necessary information and allows the Mod to perform the actions they are authorized for.
Endpoint cần gọi:
- MOD-U1 GET /api/v1/mod/users
- MOD-U2 GET /api/v1/mod/users/{userId}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57" s="2" t="inlineStr">
        <is>
          <t>Đức</t>
        </is>
      </c>
      <c r="F157" s="2" t="inlineStr">
        <is>
          <t>ANGI Sprint 3</t>
        </is>
      </c>
      <c r="G157" s="2" t="inlineStr">
        <is>
          <t>EP-MOD</t>
        </is>
      </c>
      <c r="H157" s="2" t="n">
        <v>2</v>
      </c>
      <c r="I157" s="2" t="inlineStr">
        <is>
          <t>09/11/2026</t>
        </is>
      </c>
      <c r="J157" s="2" t="inlineStr">
        <is>
          <t>10/11/2026</t>
        </is>
      </c>
      <c r="K157" s="2" t="inlineStr">
        <is>
          <t>frontend iteration3</t>
        </is>
      </c>
      <c r="L157" s="2" t="inlineStr">
        <is>
          <t>ANGI-168</t>
        </is>
      </c>
      <c r="M157" s="2" t="inlineStr"/>
      <c r="N157" s="2" t="n">
        <v>8.6</v>
      </c>
      <c r="O157" s="2" t="inlineStr">
        <is>
          <t>Medium</t>
        </is>
      </c>
    </row>
    <row r="158">
      <c r="A158" s="2" t="inlineStr">
        <is>
          <t>T119</t>
        </is>
      </c>
      <c r="B158" s="2" t="inlineStr">
        <is>
          <t>Task</t>
        </is>
      </c>
      <c r="C158" s="2" t="inlineStr">
        <is>
          <t>[BE] F-60 Handle Social Report</t>
        </is>
      </c>
      <c r="D158" s="2" t="inlineStr">
        <is>
          <t>Use case F-60 Handle Social Report (Actor: Mod). Allows a Mod to handle reports related to social content such as blog posts or comments. The handler reviews the content and report information and takes the appropriate action according to the moderation policy.
Endpoint cần làm:
- MOD-RP1 GET /api/v1/mod/reports
- MOD-RP2 GET /api/v1/mod/reports/{reportId}
- MOD-RP3 POST /api/v1/mod/reports/{reportId}/claim
- MOD-RP4 POST /api/v1/mod/reports/{reportId}/resolve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58" s="2" t="inlineStr">
        <is>
          <t>Trọng</t>
        </is>
      </c>
      <c r="F158" s="2" t="inlineStr">
        <is>
          <t>ANGI Sprint 3</t>
        </is>
      </c>
      <c r="G158" s="2" t="inlineStr">
        <is>
          <t>EP-MOD</t>
        </is>
      </c>
      <c r="H158" s="2" t="n">
        <v>3</v>
      </c>
      <c r="I158" s="2" t="inlineStr">
        <is>
          <t>09/11/2026</t>
        </is>
      </c>
      <c r="J158" s="2" t="inlineStr">
        <is>
          <t>10/11/2026</t>
        </is>
      </c>
      <c r="K158" s="2" t="inlineStr">
        <is>
          <t>backend iteration3</t>
        </is>
      </c>
      <c r="L158" s="2" t="inlineStr">
        <is>
          <t>ANGI-169</t>
        </is>
      </c>
      <c r="M158" s="2" t="inlineStr"/>
      <c r="N158" s="2" t="n">
        <v>6.4</v>
      </c>
      <c r="O158" s="2" t="inlineStr">
        <is>
          <t>Medium</t>
        </is>
      </c>
    </row>
    <row r="159">
      <c r="A159" s="2" t="inlineStr">
        <is>
          <t>T131</t>
        </is>
      </c>
      <c r="B159" s="2" t="inlineStr">
        <is>
          <t>Task</t>
        </is>
      </c>
      <c r="C159" s="2" t="inlineStr">
        <is>
          <t>[BE] F-66 Manage Permission</t>
        </is>
      </c>
      <c r="D159" s="2" t="inlineStr">
        <is>
          <t>Use case F-66 Manage Permission (Actor: Admin). Allows an Admin to manage the access permissions of Mods in the system. The Admin can view and update the allowed permissions according to ANGI's authorization policy.
Endpoint cần làm:
- ADM-P1 GET /api/v1/admin/permissions
- ADM-P2 GET /api/v1/admin/mods/{userId}/permissions
- ADM-P3 PUT /api/v1/admin/mods/{userId}/permissions
- ADM-P4 PUT /api/v1/admin/roles/MOD/permissions
Ghi chú: Quyền hiệu lực = quyền mặc định của role + allow − deny (user_permissions), đọc từ DB, không nằm trong JWT.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59" s="2" t="inlineStr">
        <is>
          <t>Hưng</t>
        </is>
      </c>
      <c r="F159" s="2" t="inlineStr">
        <is>
          <t>ANGI Sprint 3</t>
        </is>
      </c>
      <c r="G159" s="2" t="inlineStr">
        <is>
          <t>EP-ADMIN</t>
        </is>
      </c>
      <c r="H159" s="2" t="n">
        <v>5</v>
      </c>
      <c r="I159" s="2" t="inlineStr">
        <is>
          <t>09/11/2026</t>
        </is>
      </c>
      <c r="J159" s="2" t="inlineStr">
        <is>
          <t>10/11/2026</t>
        </is>
      </c>
      <c r="K159" s="2" t="inlineStr">
        <is>
          <t>backend iteration3</t>
        </is>
      </c>
      <c r="L159" s="2" t="inlineStr">
        <is>
          <t>ANGI-170</t>
        </is>
      </c>
      <c r="M159" s="2" t="inlineStr"/>
      <c r="N159" s="2" t="n">
        <v>4.7</v>
      </c>
      <c r="O159" s="2" t="inlineStr">
        <is>
          <t>High</t>
        </is>
      </c>
    </row>
    <row r="160">
      <c r="A160" s="2" t="inlineStr">
        <is>
          <t>T132</t>
        </is>
      </c>
      <c r="B160" s="2" t="inlineStr">
        <is>
          <t>Task</t>
        </is>
      </c>
      <c r="C160" s="2" t="inlineStr">
        <is>
          <t>[FE] F-66 Manage Permission</t>
        </is>
      </c>
      <c r="D160" s="2" t="inlineStr">
        <is>
          <t>Use case F-66 Manage Permission (Actor: Admin). Allows an Admin to manage the access permissions of Mods in the system. The Admin can view and update the allowed permissions according to ANGI's authorization policy.
Endpoint cần gọi:
- ADM-P1 GET /api/v1/admin/permissions
- ADM-P2 GET /api/v1/admin/mods/{userId}/permissions
- ADM-P3 PUT /api/v1/admin/mods/{userId}/permissions
- ADM-P4 PUT /api/v1/admin/roles/MOD/permissions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60" s="2" t="inlineStr">
        <is>
          <t>Tuấn</t>
        </is>
      </c>
      <c r="F160" s="2" t="inlineStr">
        <is>
          <t>ANGI Sprint 3</t>
        </is>
      </c>
      <c r="G160" s="2" t="inlineStr">
        <is>
          <t>EP-ADMIN</t>
        </is>
      </c>
      <c r="H160" s="2" t="n">
        <v>3</v>
      </c>
      <c r="I160" s="2" t="inlineStr">
        <is>
          <t>09/11/2026</t>
        </is>
      </c>
      <c r="J160" s="2" t="inlineStr">
        <is>
          <t>10/11/2026</t>
        </is>
      </c>
      <c r="K160" s="2" t="inlineStr">
        <is>
          <t>frontend iteration3</t>
        </is>
      </c>
      <c r="L160" s="2" t="inlineStr">
        <is>
          <t>ANGI-171</t>
        </is>
      </c>
      <c r="M160" s="2" t="inlineStr"/>
      <c r="N160" s="2" t="n">
        <v>8.800000000000001</v>
      </c>
      <c r="O160" s="2" t="inlineStr">
        <is>
          <t>Medium</t>
        </is>
      </c>
    </row>
    <row r="161">
      <c r="A161" s="2" t="inlineStr">
        <is>
          <t>T154</t>
        </is>
      </c>
      <c r="B161" s="2" t="inlineStr">
        <is>
          <t>Task</t>
        </is>
      </c>
      <c r="C161" s="2" t="inlineStr">
        <is>
          <t>Reco P3: Exploration UCB + Recommend score</t>
        </is>
      </c>
      <c r="D161" s="2" t="inlineStr">
        <is>
          <t>Recommendation_System_Design_Ver1.0 mục 3.4. Deliverable: Exploration Score + Recommend Score.</t>
        </is>
      </c>
      <c r="E161" s="2" t="inlineStr">
        <is>
          <t>Dũng</t>
        </is>
      </c>
      <c r="F161" s="2" t="inlineStr">
        <is>
          <t>ANGI Sprint 3</t>
        </is>
      </c>
      <c r="G161" s="2" t="inlineStr">
        <is>
          <t>EP-RECO</t>
        </is>
      </c>
      <c r="H161" s="2" t="n">
        <v>5</v>
      </c>
      <c r="I161" s="2" t="inlineStr">
        <is>
          <t>09/11/2026</t>
        </is>
      </c>
      <c r="J161" s="2" t="inlineStr">
        <is>
          <t>12/11/2026</t>
        </is>
      </c>
      <c r="K161" s="2" t="inlineStr">
        <is>
          <t>reco</t>
        </is>
      </c>
      <c r="L161" s="2" t="inlineStr">
        <is>
          <t>ANGI-172</t>
        </is>
      </c>
      <c r="M161" s="2" t="inlineStr"/>
      <c r="N161" s="2" t="n">
        <v>4.9</v>
      </c>
      <c r="O161" s="2" t="inlineStr">
        <is>
          <t>High</t>
        </is>
      </c>
    </row>
    <row r="162">
      <c r="A162" s="2" t="inlineStr">
        <is>
          <t>T105</t>
        </is>
      </c>
      <c r="B162" s="2" t="inlineStr">
        <is>
          <t>Task</t>
        </is>
      </c>
      <c r="C162" s="2" t="inlineStr">
        <is>
          <t>[BE] F-53 Suspend/Ban User</t>
        </is>
      </c>
      <c r="D162" s="2" t="inlineStr">
        <is>
          <t>Use case F-53 Suspend/Ban User (Actor: Mod). Allows a Mod to suspend or ban a user account according to the permitted level of action. The system updates the account status and prevents the user from using features they are no longer allowed to use.
Endpoint cần làm:
- MOD-U3 POST /api/v1/mod/users/{userId}/sanctions
- MOD-RP4 POST /api/v1/mod/reports/{reportId}/resolve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62" s="2" t="inlineStr">
        <is>
          <t>Trọng</t>
        </is>
      </c>
      <c r="F162" s="2" t="inlineStr">
        <is>
          <t>ANGI Sprint 3</t>
        </is>
      </c>
      <c r="G162" s="2" t="inlineStr">
        <is>
          <t>EP-MOD</t>
        </is>
      </c>
      <c r="H162" s="2" t="n">
        <v>3</v>
      </c>
      <c r="I162" s="2" t="inlineStr">
        <is>
          <t>10/11/2026</t>
        </is>
      </c>
      <c r="J162" s="2" t="inlineStr">
        <is>
          <t>11/11/2026</t>
        </is>
      </c>
      <c r="K162" s="2" t="inlineStr">
        <is>
          <t>backend iteration3</t>
        </is>
      </c>
      <c r="L162" s="2" t="inlineStr">
        <is>
          <t>ANGI-173</t>
        </is>
      </c>
      <c r="M162" s="2" t="inlineStr"/>
      <c r="N162" s="2" t="n">
        <v>5.5</v>
      </c>
      <c r="O162" s="2" t="inlineStr">
        <is>
          <t>Medium</t>
        </is>
      </c>
    </row>
    <row r="163">
      <c r="A163" s="2" t="inlineStr">
        <is>
          <t>T120</t>
        </is>
      </c>
      <c r="B163" s="2" t="inlineStr">
        <is>
          <t>Task</t>
        </is>
      </c>
      <c r="C163" s="2" t="inlineStr">
        <is>
          <t>[FE] F-60 Handle Social Report</t>
        </is>
      </c>
      <c r="D163" s="2" t="inlineStr">
        <is>
          <t>Use case F-60 Handle Social Report (Actor: Mod). Allows a Mod to handle reports related to social content such as blog posts or comments. The handler reviews the content and report information and takes the appropriate action according to the moderation policy.
Endpoint cần gọi:
- MOD-RP1 GET /api/v1/mod/reports
- MOD-RP2 GET /api/v1/mod/reports/{reportId}
- MOD-RP3 POST /api/v1/mod/reports/{reportId}/claim
- MOD-RP4 POST /api/v1/mod/reports/{reportId}/resolve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63" s="2" t="inlineStr">
        <is>
          <t>Đức</t>
        </is>
      </c>
      <c r="F163" s="2" t="inlineStr">
        <is>
          <t>ANGI Sprint 3</t>
        </is>
      </c>
      <c r="G163" s="2" t="inlineStr">
        <is>
          <t>EP-MOD</t>
        </is>
      </c>
      <c r="H163" s="2" t="n">
        <v>2</v>
      </c>
      <c r="I163" s="2" t="inlineStr">
        <is>
          <t>10/11/2026</t>
        </is>
      </c>
      <c r="J163" s="2" t="inlineStr">
        <is>
          <t>11/11/2026</t>
        </is>
      </c>
      <c r="K163" s="2" t="inlineStr">
        <is>
          <t>frontend iteration3</t>
        </is>
      </c>
      <c r="L163" s="2" t="inlineStr">
        <is>
          <t>ANGI-174</t>
        </is>
      </c>
      <c r="M163" s="2" t="inlineStr"/>
      <c r="N163" s="2" t="n">
        <v>7.2</v>
      </c>
      <c r="O163" s="2" t="inlineStr">
        <is>
          <t>Medium</t>
        </is>
      </c>
    </row>
    <row r="164">
      <c r="A164" s="2" t="inlineStr">
        <is>
          <t>T129</t>
        </is>
      </c>
      <c r="B164" s="2" t="inlineStr">
        <is>
          <t>Task</t>
        </is>
      </c>
      <c r="C164" s="2" t="inlineStr">
        <is>
          <t>[BE] F-65 Manage Mod</t>
        </is>
      </c>
      <c r="D164" s="2" t="inlineStr">
        <is>
          <t>Use case F-65 Manage Mod (Actor: Admin). Allows an Admin to manage accounts with the Moderator role, including assigning permissions, updating status, or changing roles according to system policy.
Endpoint cần làm:
- ADM-M1 GET /api/v1/admin/mods
- ADM-M2 POST /api/v1/admin/mods
- ADM-M3 GET /api/v1/admin/mods/{userId}
- ADM-M4 PATCH /api/v1/admin/mods/{userId}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64" s="2" t="inlineStr">
        <is>
          <t>Hưng</t>
        </is>
      </c>
      <c r="F164" s="2" t="inlineStr">
        <is>
          <t>ANGI Sprint 3</t>
        </is>
      </c>
      <c r="G164" s="2" t="inlineStr">
        <is>
          <t>EP-ADMIN</t>
        </is>
      </c>
      <c r="H164" s="2" t="n">
        <v>3</v>
      </c>
      <c r="I164" s="2" t="inlineStr">
        <is>
          <t>10/11/2026</t>
        </is>
      </c>
      <c r="J164" s="2" t="inlineStr">
        <is>
          <t>11/11/2026</t>
        </is>
      </c>
      <c r="K164" s="2" t="inlineStr">
        <is>
          <t>backend iteration3</t>
        </is>
      </c>
      <c r="L164" s="2" t="inlineStr">
        <is>
          <t>ANGI-175</t>
        </is>
      </c>
      <c r="M164" s="2" t="inlineStr"/>
      <c r="N164" s="2" t="n">
        <v>5.3</v>
      </c>
      <c r="O164" s="2" t="inlineStr">
        <is>
          <t>Medium</t>
        </is>
      </c>
    </row>
    <row r="165">
      <c r="A165" s="2" t="inlineStr">
        <is>
          <t>T130</t>
        </is>
      </c>
      <c r="B165" s="2" t="inlineStr">
        <is>
          <t>Task</t>
        </is>
      </c>
      <c r="C165" s="2" t="inlineStr">
        <is>
          <t>[FE] F-65 Manage Mod</t>
        </is>
      </c>
      <c r="D165" s="2" t="inlineStr">
        <is>
          <t>Use case F-65 Manage Mod (Actor: Admin). Allows an Admin to manage accounts with the Moderator role, including assigning permissions, updating status, or changing roles according to system policy.
Endpoint cần gọi:
- ADM-M1 GET /api/v1/admin/mods
- ADM-M2 POST /api/v1/admin/mods
- ADM-M3 GET /api/v1/admin/mods/{userId}
- ADM-M4 PATCH /api/v1/admin/mods/{userId}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65" s="2" t="inlineStr">
        <is>
          <t>Tuấn</t>
        </is>
      </c>
      <c r="F165" s="2" t="inlineStr">
        <is>
          <t>ANGI Sprint 3</t>
        </is>
      </c>
      <c r="G165" s="2" t="inlineStr">
        <is>
          <t>EP-ADMIN</t>
        </is>
      </c>
      <c r="H165" s="2" t="n">
        <v>3</v>
      </c>
      <c r="I165" s="2" t="inlineStr">
        <is>
          <t>10/11/2026</t>
        </is>
      </c>
      <c r="J165" s="2" t="inlineStr">
        <is>
          <t>11/11/2026</t>
        </is>
      </c>
      <c r="K165" s="2" t="inlineStr">
        <is>
          <t>frontend iteration3</t>
        </is>
      </c>
      <c r="L165" s="2" t="inlineStr">
        <is>
          <t>ANGI-176</t>
        </is>
      </c>
      <c r="M165" s="2" t="inlineStr"/>
      <c r="N165" s="2" t="n">
        <v>7.7</v>
      </c>
      <c r="O165" s="2" t="inlineStr">
        <is>
          <t>Medium</t>
        </is>
      </c>
    </row>
    <row r="166">
      <c r="A166" s="2" t="inlineStr">
        <is>
          <t>T166</t>
        </is>
      </c>
      <c r="B166" s="2" t="inlineStr">
        <is>
          <t>Task</t>
        </is>
      </c>
      <c r="C166" s="2" t="inlineStr">
        <is>
          <t>Report 4: SDS v1.3</t>
        </is>
      </c>
      <c r="D166" s="2" t="inlineStr">
        <is>
          <t>Cả team cùng viết, mỗi người viết phần module/feature mình làm. Dũng tổng hợp và duyệt cuối.</t>
        </is>
      </c>
      <c r="E166" s="2" t="inlineStr">
        <is>
          <t>Dũng</t>
        </is>
      </c>
      <c r="F166" s="2" t="inlineStr">
        <is>
          <t>ANGI Sprint 3</t>
        </is>
      </c>
      <c r="G166" s="2" t="inlineStr">
        <is>
          <t>EP-DOC</t>
        </is>
      </c>
      <c r="H166" s="2" t="n">
        <v>2</v>
      </c>
      <c r="I166" s="2" t="inlineStr">
        <is>
          <t>10/11/2026</t>
        </is>
      </c>
      <c r="J166" s="2" t="inlineStr">
        <is>
          <t>11/11/2026</t>
        </is>
      </c>
      <c r="K166" s="2" t="inlineStr">
        <is>
          <t>docs</t>
        </is>
      </c>
      <c r="L166" s="2" t="inlineStr">
        <is>
          <t>ANGI-177</t>
        </is>
      </c>
      <c r="M166" s="2" t="inlineStr"/>
      <c r="N166" s="2" t="n">
        <v>32</v>
      </c>
      <c r="O166" s="2" t="inlineStr">
        <is>
          <t>Medium</t>
        </is>
      </c>
    </row>
    <row r="167">
      <c r="A167" s="2" t="inlineStr">
        <is>
          <t>T113</t>
        </is>
      </c>
      <c r="B167" s="2" t="inlineStr">
        <is>
          <t>Task</t>
        </is>
      </c>
      <c r="C167" s="2" t="inlineStr">
        <is>
          <t>[BE] F-57 Review Verification Submission</t>
        </is>
      </c>
      <c r="D167" s="2" t="inlineStr">
        <is>
          <t>Use case F-57 Review Verification Submission (Actor: Mod). Allows a Mod to view and review a Restaurant Owner's verification submission, including the restaurant information and the data/documents provided. The reviewer can approve or reject it according to the system's process.
Endpoint cần làm:
- MOD-V1 GET /api/v1/mod/verifications
- MOD-V2 GET /api/v1/mod/verifications/{verificationId}
- MOD-V3 POST /api/v1/mod/verifications/{verificationId}/decision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[BE] F-66 Manage Permission.</t>
        </is>
      </c>
      <c r="E167" s="2" t="inlineStr">
        <is>
          <t>Hưng</t>
        </is>
      </c>
      <c r="F167" s="2" t="inlineStr">
        <is>
          <t>ANGI Sprint 3</t>
        </is>
      </c>
      <c r="G167" s="2" t="inlineStr">
        <is>
          <t>EP-MOD</t>
        </is>
      </c>
      <c r="H167" s="2" t="n">
        <v>3</v>
      </c>
      <c r="I167" s="2" t="inlineStr">
        <is>
          <t>11/11/2026</t>
        </is>
      </c>
      <c r="J167" s="2" t="inlineStr">
        <is>
          <t>12/11/2026</t>
        </is>
      </c>
      <c r="K167" s="2" t="inlineStr">
        <is>
          <t>backend iteration3</t>
        </is>
      </c>
      <c r="L167" s="2" t="inlineStr">
        <is>
          <t>ANGI-178</t>
        </is>
      </c>
      <c r="M167" s="2" t="inlineStr"/>
      <c r="N167" s="2" t="n">
        <v>4.3</v>
      </c>
      <c r="O167" s="2" t="inlineStr">
        <is>
          <t>Medium</t>
        </is>
      </c>
    </row>
    <row r="168">
      <c r="A168" s="2" t="inlineStr">
        <is>
          <t>T121</t>
        </is>
      </c>
      <c r="B168" s="2" t="inlineStr">
        <is>
          <t>Task</t>
        </is>
      </c>
      <c r="C168" s="2" t="inlineStr">
        <is>
          <t>[BE] F-61 Moderate User Blog</t>
        </is>
      </c>
      <c r="D168" s="2" t="inlineStr">
        <is>
          <t>Use case F-61 Moderate User Blog (Actor: Mod). Allows a Mod to review and handle user-created blog posts when they are reported or need moderation. The available actions depend on the Mod's permissions.
Endpoint cần làm:
- MOD-B1 GET /api/v1/mod/blogs
- MOD-B2 PUT /api/v1/mod/blogs/{blogId}/status
- MOD-B3 PUT /api/v1/mod/blog-comments/{commentId}/status
- MOD-RP4 POST /api/v1/mod/reports/{reportId}/resolve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68" s="2" t="inlineStr">
        <is>
          <t>Trọng</t>
        </is>
      </c>
      <c r="F168" s="2" t="inlineStr">
        <is>
          <t>ANGI Sprint 3</t>
        </is>
      </c>
      <c r="G168" s="2" t="inlineStr">
        <is>
          <t>EP-MOD</t>
        </is>
      </c>
      <c r="H168" s="2" t="n">
        <v>2</v>
      </c>
      <c r="I168" s="2" t="inlineStr">
        <is>
          <t>11/11/2026</t>
        </is>
      </c>
      <c r="J168" s="2" t="inlineStr">
        <is>
          <t>12/11/2026</t>
        </is>
      </c>
      <c r="K168" s="2" t="inlineStr">
        <is>
          <t>backend iteration3</t>
        </is>
      </c>
      <c r="L168" s="2" t="inlineStr">
        <is>
          <t>ANGI-179</t>
        </is>
      </c>
      <c r="M168" s="2" t="inlineStr"/>
      <c r="N168" s="2" t="n">
        <v>4.8</v>
      </c>
      <c r="O168" s="2" t="inlineStr">
        <is>
          <t>Medium</t>
        </is>
      </c>
    </row>
    <row r="169">
      <c r="A169" s="2" t="inlineStr">
        <is>
          <t>T106</t>
        </is>
      </c>
      <c r="B169" s="2" t="inlineStr">
        <is>
          <t>Task</t>
        </is>
      </c>
      <c r="C169" s="2" t="inlineStr">
        <is>
          <t>[FE] F-53 Suspend/Ban User</t>
        </is>
      </c>
      <c r="D169" s="2" t="inlineStr">
        <is>
          <t>Use case F-53 Suspend/Ban User (Actor: Mod). Allows a Mod to suspend or ban a user account according to the permitted level of action. The system updates the account status and prevents the user from using features they are no longer allowed to use.
Endpoint cần gọi:
- MOD-U3 POST /api/v1/mod/users/{userId}/sanctions
- MOD-RP4 POST /api/v1/mod/reports/{reportId}/resolve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69" s="2" t="inlineStr">
        <is>
          <t>Đức</t>
        </is>
      </c>
      <c r="F169" s="2" t="inlineStr">
        <is>
          <t>ANGI Sprint 3</t>
        </is>
      </c>
      <c r="G169" s="2" t="inlineStr">
        <is>
          <t>EP-MOD</t>
        </is>
      </c>
      <c r="H169" s="2" t="n">
        <v>2</v>
      </c>
      <c r="I169" s="2" t="inlineStr">
        <is>
          <t>11/11/2026</t>
        </is>
      </c>
      <c r="J169" s="2" t="inlineStr">
        <is>
          <t>13/11/2026</t>
        </is>
      </c>
      <c r="K169" s="2" t="inlineStr">
        <is>
          <t>frontend iteration3</t>
        </is>
      </c>
      <c r="L169" s="2" t="inlineStr">
        <is>
          <t>ANGI-180</t>
        </is>
      </c>
      <c r="M169" s="2" t="inlineStr"/>
      <c r="N169" s="2" t="n">
        <v>5.8</v>
      </c>
      <c r="O169" s="2" t="inlineStr">
        <is>
          <t>Medium</t>
        </is>
      </c>
    </row>
    <row r="170">
      <c r="A170" s="2" t="inlineStr">
        <is>
          <t>T126</t>
        </is>
      </c>
      <c r="B170" s="2" t="inlineStr">
        <is>
          <t>Task</t>
        </is>
      </c>
      <c r="C170" s="2" t="inlineStr">
        <is>
          <t>[FE] F-63 View Dashboard</t>
        </is>
      </c>
      <c r="D170" s="2" t="inlineStr">
        <is>
          <t>Use case F-63 View Dashboard (Actor: Admin). Allows an Admin to view an overview dashboard of system activity. The dashboard provides the statistics and metrics the Admin needs to monitor users, restaurants, content, recommendations, and administrative activities.
Endpoint cần gọi:
- ADM-D1 GET /api/v1/admin/dashboard/summary
- ADM-D2 GET /api/v1/admin/dashboard/timeseries
- ADM-D3 GET /api/v1/admin/dashboard/top
- OPS-01 GET /api/v1/admin/outbox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70" s="2" t="inlineStr">
        <is>
          <t>Tuấn</t>
        </is>
      </c>
      <c r="F170" s="2" t="inlineStr">
        <is>
          <t>ANGI Sprint 3</t>
        </is>
      </c>
      <c r="G170" s="2" t="inlineStr">
        <is>
          <t>EP-ADMIN</t>
        </is>
      </c>
      <c r="H170" s="2" t="n">
        <v>5</v>
      </c>
      <c r="I170" s="2" t="inlineStr">
        <is>
          <t>11/11/2026</t>
        </is>
      </c>
      <c r="J170" s="2" t="inlineStr">
        <is>
          <t>13/11/2026</t>
        </is>
      </c>
      <c r="K170" s="2" t="inlineStr">
        <is>
          <t>frontend iteration3</t>
        </is>
      </c>
      <c r="L170" s="2" t="inlineStr">
        <is>
          <t>ANGI-181</t>
        </is>
      </c>
      <c r="M170" s="2" t="inlineStr"/>
      <c r="N170" s="2" t="n">
        <v>5.7</v>
      </c>
      <c r="O170" s="2" t="inlineStr">
        <is>
          <t>High</t>
        </is>
      </c>
    </row>
    <row r="171">
      <c r="A171" s="2" t="inlineStr">
        <is>
          <t>T107</t>
        </is>
      </c>
      <c r="B171" s="2" t="inlineStr">
        <is>
          <t>Task</t>
        </is>
      </c>
      <c r="C171" s="2" t="inlineStr">
        <is>
          <t>[BE] F-54 Unban User</t>
        </is>
      </c>
      <c r="D171" s="2" t="inlineStr">
        <is>
          <t>Use case F-54 Unban User (Actor: Mod). Allows a Mod to lift the ban on an account when it is eligible to be restored. The system updates the account status and restores the corresponding permissions.
Endpoint cần làm:
- MOD-U4 POST /api/v1/mod/users/{userId}/unban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71" s="2" t="inlineStr">
        <is>
          <t>Trọng</t>
        </is>
      </c>
      <c r="F171" s="2" t="inlineStr">
        <is>
          <t>ANGI Sprint 3</t>
        </is>
      </c>
      <c r="G171" s="2" t="inlineStr">
        <is>
          <t>EP-MOD</t>
        </is>
      </c>
      <c r="H171" s="2" t="n">
        <v>1</v>
      </c>
      <c r="I171" s="2" t="inlineStr">
        <is>
          <t>12/11/2026</t>
        </is>
      </c>
      <c r="J171" s="2" t="inlineStr">
        <is>
          <t>12/11/2026</t>
        </is>
      </c>
      <c r="K171" s="2" t="inlineStr">
        <is>
          <t>backend iteration3</t>
        </is>
      </c>
      <c r="L171" s="2" t="inlineStr">
        <is>
          <t>ANGI-182</t>
        </is>
      </c>
      <c r="M171" s="2" t="inlineStr"/>
      <c r="N171" s="2" t="n">
        <v>4.5</v>
      </c>
      <c r="O171" s="2" t="inlineStr">
        <is>
          <t>Medium</t>
        </is>
      </c>
    </row>
    <row r="172">
      <c r="A172" s="2" t="inlineStr">
        <is>
          <t>T123</t>
        </is>
      </c>
      <c r="B172" s="2" t="inlineStr">
        <is>
          <t>Task</t>
        </is>
      </c>
      <c r="C172" s="2" t="inlineStr">
        <is>
          <t>[BE] F-62 Moderate User Feedback</t>
        </is>
      </c>
      <c r="D172" s="2" t="inlineStr">
        <is>
          <t>Use case F-62 Moderate User Feedback (Actor: Mod). Allows a Mod to review and handle feedback or reviews submitted by users when the content is reported or violates the rules.
Endpoint cần làm:
- MOD-F1 GET /api/v1/mod/reviews
- MOD-F2 PUT /api/v1/mod/reviews/{reviewId}/status
- MOD-F3 PUT /api/v1/mod/reviews/{reviewId}/reply/status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72" s="2" t="inlineStr">
        <is>
          <t>Trọng</t>
        </is>
      </c>
      <c r="F172" s="2" t="inlineStr">
        <is>
          <t>ANGI Sprint 3</t>
        </is>
      </c>
      <c r="G172" s="2" t="inlineStr">
        <is>
          <t>EP-MOD</t>
        </is>
      </c>
      <c r="H172" s="2" t="n">
        <v>2</v>
      </c>
      <c r="I172" s="2" t="inlineStr">
        <is>
          <t>12/11/2026</t>
        </is>
      </c>
      <c r="J172" s="2" t="inlineStr">
        <is>
          <t>13/11/2026</t>
        </is>
      </c>
      <c r="K172" s="2" t="inlineStr">
        <is>
          <t>backend iteration3</t>
        </is>
      </c>
      <c r="L172" s="2" t="inlineStr">
        <is>
          <t>ANGI-183</t>
        </is>
      </c>
      <c r="M172" s="2" t="inlineStr"/>
      <c r="N172" s="2" t="n">
        <v>3.9</v>
      </c>
      <c r="O172" s="2" t="inlineStr">
        <is>
          <t>Medium</t>
        </is>
      </c>
    </row>
    <row r="173">
      <c r="A173" s="2" t="inlineStr">
        <is>
          <t>T115</t>
        </is>
      </c>
      <c r="B173" s="2" t="inlineStr">
        <is>
          <t>Task</t>
        </is>
      </c>
      <c r="C173" s="2" t="inlineStr">
        <is>
          <t>[BE] F-58 Review Pending Menu Submission</t>
        </is>
      </c>
      <c r="D173" s="2" t="inlineStr">
        <is>
          <t>Use case F-58 Review Pending Menu Submission (Actor: Mod). Allows a Mod to view and review a restaurant's menu submission awaiting approval, including the restaurant's menu information. The reviewer can approve or reject it according to the system's process.
Endpoint cần làm:
- MOD-M1 GET /api/v1/mod/menu-submissions
- MOD-M2 GET /api/v1/mod/menu-submissions/{submissionId}
- MOD-M3 POST /api/v1/mod/menu-submissions/{submissionId}/approve
- MOD-M4 POST /api/v1/mod/menu-submissions/{submissionId}/reject
Ghi chú: Duyệt thì thay menu trong 1 transaction, giữ dish_id của món được sửa; ghi outbox DISH_UPSERTED / DISH_DEACTIVATED.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[BE] F-66 Manage Permission.</t>
        </is>
      </c>
      <c r="E173" s="2" t="inlineStr">
        <is>
          <t>Hưng</t>
        </is>
      </c>
      <c r="F173" s="2" t="inlineStr">
        <is>
          <t>ANGI Sprint 3</t>
        </is>
      </c>
      <c r="G173" s="2" t="inlineStr">
        <is>
          <t>EP-MOD</t>
        </is>
      </c>
      <c r="H173" s="2" t="n">
        <v>5</v>
      </c>
      <c r="I173" s="2" t="inlineStr">
        <is>
          <t>12/11/2026</t>
        </is>
      </c>
      <c r="J173" s="2" t="inlineStr">
        <is>
          <t>14/11/2026</t>
        </is>
      </c>
      <c r="K173" s="2" t="inlineStr">
        <is>
          <t>backend iteration3</t>
        </is>
      </c>
      <c r="L173" s="2" t="inlineStr">
        <is>
          <t>ANGI-184</t>
        </is>
      </c>
      <c r="M173" s="2" t="inlineStr"/>
      <c r="N173" s="2" t="n">
        <v>2.7</v>
      </c>
      <c r="O173" s="2" t="inlineStr">
        <is>
          <t>High</t>
        </is>
      </c>
    </row>
    <row r="174">
      <c r="A174" s="2" t="inlineStr">
        <is>
          <t>T155</t>
        </is>
      </c>
      <c r="B174" s="2" t="inlineStr">
        <is>
          <t>Task</t>
        </is>
      </c>
      <c r="C174" s="2" t="inlineStr">
        <is>
          <t>Reco P3: Đánh giá offline (bộ kịch bản + metric) cho báo cáo</t>
        </is>
      </c>
      <c r="D174" s="2" t="inlineStr">
        <is>
          <t>So sánh các bộ tham số ở Recommendation_System_Design_Ver1.0 mục 3.5 dựa trên recommendation_logs / recommendation_items. | Làm sau: Reco P3: Exploration UCB + Recommend score.</t>
        </is>
      </c>
      <c r="E174" s="2" t="inlineStr">
        <is>
          <t>Dũng</t>
        </is>
      </c>
      <c r="F174" s="2" t="inlineStr">
        <is>
          <t>ANGI Sprint 3</t>
        </is>
      </c>
      <c r="G174" s="2" t="inlineStr">
        <is>
          <t>EP-RECO</t>
        </is>
      </c>
      <c r="H174" s="2" t="n">
        <v>3</v>
      </c>
      <c r="I174" s="2" t="inlineStr">
        <is>
          <t>12/11/2026</t>
        </is>
      </c>
      <c r="J174" s="2" t="inlineStr">
        <is>
          <t>14/11/2026</t>
        </is>
      </c>
      <c r="K174" s="2" t="inlineStr">
        <is>
          <t>reco</t>
        </is>
      </c>
      <c r="L174" s="2" t="inlineStr">
        <is>
          <t>ANGI-185</t>
        </is>
      </c>
      <c r="M174" s="2" t="inlineStr"/>
      <c r="N174" s="2" t="n">
        <v>4.9</v>
      </c>
      <c r="O174" s="2" t="inlineStr">
        <is>
          <t>Medium</t>
        </is>
      </c>
    </row>
    <row r="175">
      <c r="A175" s="2" t="inlineStr">
        <is>
          <t>T109</t>
        </is>
      </c>
      <c r="B175" s="2" t="inlineStr">
        <is>
          <t>Task</t>
        </is>
      </c>
      <c r="C175" s="2" t="inlineStr">
        <is>
          <t>[BE] F-55 View User Audit Logs</t>
        </is>
      </c>
      <c r="D175" s="2" t="inlineStr">
        <is>
          <t>Use case F-55 View User Audit Logs (Actor: Mod). Allows a Mod to view the history of important activities related to user accounts. The system shows the audit records needed to support activity tracking and review.
Endpoint cần làm:
- MOD-U5 GET /api/v1/mod/users/{userId}/audit-logs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75" s="2" t="inlineStr">
        <is>
          <t>Trọng</t>
        </is>
      </c>
      <c r="F175" s="2" t="inlineStr">
        <is>
          <t>ANGI Sprint 3</t>
        </is>
      </c>
      <c r="G175" s="2" t="inlineStr">
        <is>
          <t>EP-MOD</t>
        </is>
      </c>
      <c r="H175" s="2" t="n">
        <v>2</v>
      </c>
      <c r="I175" s="2" t="inlineStr">
        <is>
          <t>13/11/2026</t>
        </is>
      </c>
      <c r="J175" s="2" t="inlineStr">
        <is>
          <t>13/11/2026</t>
        </is>
      </c>
      <c r="K175" s="2" t="inlineStr">
        <is>
          <t>backend iteration3</t>
        </is>
      </c>
      <c r="L175" s="2" t="inlineStr">
        <is>
          <t>ANGI-186</t>
        </is>
      </c>
      <c r="M175" s="2" t="inlineStr"/>
      <c r="N175" s="2" t="n">
        <v>3.2</v>
      </c>
      <c r="O175" s="2" t="inlineStr">
        <is>
          <t>Medium</t>
        </is>
      </c>
    </row>
    <row r="176">
      <c r="A176" s="2" t="inlineStr">
        <is>
          <t>T122</t>
        </is>
      </c>
      <c r="B176" s="2" t="inlineStr">
        <is>
          <t>Task</t>
        </is>
      </c>
      <c r="C176" s="2" t="inlineStr">
        <is>
          <t>[FE] F-61 Moderate User Blog</t>
        </is>
      </c>
      <c r="D176" s="2" t="inlineStr">
        <is>
          <t>Use case F-61 Moderate User Blog (Actor: Mod). Allows a Mod to review and handle user-created blog posts when they are reported or need moderation. The available actions depend on the Mod's permissions.
Endpoint cần gọi:
- MOD-B1 GET /api/v1/mod/blogs
- MOD-B2 PUT /api/v1/mod/blogs/{blogId}/status
- MOD-B3 PUT /api/v1/mod/blog-comments/{commentId}/status
- MOD-RP4 POST /api/v1/mod/reports/{reportId}/resolve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76" s="2" t="inlineStr">
        <is>
          <t>Đức</t>
        </is>
      </c>
      <c r="F176" s="2" t="inlineStr">
        <is>
          <t>ANGI Sprint 3</t>
        </is>
      </c>
      <c r="G176" s="2" t="inlineStr">
        <is>
          <t>EP-MOD</t>
        </is>
      </c>
      <c r="H176" s="2" t="n">
        <v>2</v>
      </c>
      <c r="I176" s="2" t="inlineStr">
        <is>
          <t>13/11/2026</t>
        </is>
      </c>
      <c r="J176" s="2" t="inlineStr">
        <is>
          <t>14/11/2026</t>
        </is>
      </c>
      <c r="K176" s="2" t="inlineStr">
        <is>
          <t>frontend iteration3</t>
        </is>
      </c>
      <c r="L176" s="2" t="inlineStr">
        <is>
          <t>ANGI-187</t>
        </is>
      </c>
      <c r="M176" s="2" t="inlineStr"/>
      <c r="N176" s="2" t="n">
        <v>4.5</v>
      </c>
      <c r="O176" s="2" t="inlineStr">
        <is>
          <t>Medium</t>
        </is>
      </c>
    </row>
    <row r="177">
      <c r="A177" s="2" t="inlineStr">
        <is>
          <t>T128</t>
        </is>
      </c>
      <c r="B177" s="2" t="inlineStr">
        <is>
          <t>Task</t>
        </is>
      </c>
      <c r="C177" s="2" t="inlineStr">
        <is>
          <t>[FE] F-64 View System Audits Log</t>
        </is>
      </c>
      <c r="D177" s="2" t="inlineStr">
        <is>
          <t>Use case F-64 View System Audits Log (Actor: Admin). Allows an Admin to view the history of important actions recorded by the system, including administrative operations, data changes, and events needed for auditing and troubleshooting.
Endpoint cần gọi:
- ADM-A1 GET /api/v1/admin/audit-logs
- ADM-A2 GET /api/v1/admin/audit-logs/{auditLogId}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77" s="2" t="inlineStr">
        <is>
          <t>Tuấn</t>
        </is>
      </c>
      <c r="F177" s="2" t="inlineStr">
        <is>
          <t>ANGI Sprint 3</t>
        </is>
      </c>
      <c r="G177" s="2" t="inlineStr">
        <is>
          <t>EP-ADMIN</t>
        </is>
      </c>
      <c r="H177" s="2" t="n">
        <v>2</v>
      </c>
      <c r="I177" s="2" t="inlineStr">
        <is>
          <t>13/11/2026</t>
        </is>
      </c>
      <c r="J177" s="2" t="inlineStr">
        <is>
          <t>14/11/2026</t>
        </is>
      </c>
      <c r="K177" s="2" t="inlineStr">
        <is>
          <t>frontend iteration3</t>
        </is>
      </c>
      <c r="L177" s="2" t="inlineStr">
        <is>
          <t>ANGI-188</t>
        </is>
      </c>
      <c r="M177" s="2" t="inlineStr"/>
      <c r="N177" s="2" t="n">
        <v>4.9</v>
      </c>
      <c r="O177" s="2" t="inlineStr">
        <is>
          <t>Medium</t>
        </is>
      </c>
    </row>
    <row r="178">
      <c r="A178" s="2" t="inlineStr">
        <is>
          <t>T125</t>
        </is>
      </c>
      <c r="B178" s="2" t="inlineStr">
        <is>
          <t>Task</t>
        </is>
      </c>
      <c r="C178" s="2" t="inlineStr">
        <is>
          <t>[BE] F-63 View Dashboard</t>
        </is>
      </c>
      <c r="D178" s="2" t="inlineStr">
        <is>
          <t>Use case F-63 View Dashboard (Actor: Admin). Allows an Admin to view an overview dashboard of system activity. The dashboard provides the statistics and metrics the Admin needs to monitor users, restaurants, content, recommendations, and administrative activities.
Endpoint cần làm:
- ADM-D1 GET /api/v1/admin/dashboard/summary
- ADM-D2 GET /api/v1/admin/dashboard/timeseries
- ADM-D3 GET /api/v1/admin/dashboard/top
- OPS-01 GET /api/v1/admin/outbox
Ghi chú: Chỉ đọc schema core. Có thêm OPS-01 để Admin xem outbox bị lỗi.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78" s="2" t="inlineStr">
        <is>
          <t>Trọng</t>
        </is>
      </c>
      <c r="F178" s="2" t="inlineStr">
        <is>
          <t>ANGI Sprint 3</t>
        </is>
      </c>
      <c r="G178" s="2" t="inlineStr">
        <is>
          <t>EP-ADMIN</t>
        </is>
      </c>
      <c r="H178" s="2" t="n">
        <v>5</v>
      </c>
      <c r="I178" s="2" t="inlineStr">
        <is>
          <t>13/11/2026</t>
        </is>
      </c>
      <c r="J178" s="2" t="inlineStr">
        <is>
          <t>15/11/2026</t>
        </is>
      </c>
      <c r="K178" s="2" t="inlineStr">
        <is>
          <t>backend iteration3</t>
        </is>
      </c>
      <c r="L178" s="2" t="inlineStr">
        <is>
          <t>ANGI-189</t>
        </is>
      </c>
      <c r="M178" s="2" t="inlineStr"/>
      <c r="N178" s="2" t="n">
        <v>1.6</v>
      </c>
      <c r="O178" s="2" t="inlineStr">
        <is>
          <t>High</t>
        </is>
      </c>
    </row>
    <row r="179">
      <c r="A179" s="2" t="inlineStr">
        <is>
          <t>T108</t>
        </is>
      </c>
      <c r="B179" s="2" t="inlineStr">
        <is>
          <t>Task</t>
        </is>
      </c>
      <c r="C179" s="2" t="inlineStr">
        <is>
          <t>[FE] F-54 Unban User</t>
        </is>
      </c>
      <c r="D179" s="2" t="inlineStr">
        <is>
          <t>Use case F-54 Unban User (Actor: Mod). Allows a Mod to lift the ban on an account when it is eligible to be restored. The system updates the account status and restores the corresponding permissions.
Endpoint cần gọi:
- MOD-U4 POST /api/v1/mod/users/{userId}/unban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79" s="2" t="inlineStr">
        <is>
          <t>Đức</t>
        </is>
      </c>
      <c r="F179" s="2" t="inlineStr">
        <is>
          <t>ANGI Sprint 3</t>
        </is>
      </c>
      <c r="G179" s="2" t="inlineStr">
        <is>
          <t>EP-MOD</t>
        </is>
      </c>
      <c r="H179" s="2" t="n">
        <v>1</v>
      </c>
      <c r="I179" s="2" t="inlineStr">
        <is>
          <t>14/11/2026</t>
        </is>
      </c>
      <c r="J179" s="2" t="inlineStr">
        <is>
          <t>15/11/2026</t>
        </is>
      </c>
      <c r="K179" s="2" t="inlineStr">
        <is>
          <t>frontend iteration3</t>
        </is>
      </c>
      <c r="L179" s="2" t="inlineStr">
        <is>
          <t>ANGI-190</t>
        </is>
      </c>
      <c r="M179" s="2" t="inlineStr"/>
      <c r="N179" s="2" t="n">
        <v>3.8</v>
      </c>
      <c r="O179" s="2" t="inlineStr">
        <is>
          <t>Medium</t>
        </is>
      </c>
    </row>
    <row r="180">
      <c r="A180" s="2" t="inlineStr">
        <is>
          <t>T111</t>
        </is>
      </c>
      <c r="B180" s="2" t="inlineStr">
        <is>
          <t>Task</t>
        </is>
      </c>
      <c r="C180" s="2" t="inlineStr">
        <is>
          <t>[BE] F-56 Moderate Restaurant</t>
        </is>
      </c>
      <c r="D180" s="2" t="inlineStr">
        <is>
          <t>Use case F-56 Moderate Restaurant (Actor: Mod). Allows a Mod to review and handle restaurant-related issues in the system, such as incorrect information, rule violations, or reports from users.
Endpoint cần làm:
- MOD-R1 GET /api/v1/mod/restaurants
- MOD-R2 GET /api/v1/mod/restaurants/{restaurantId}
- MOD-R3 PUT /api/v1/mod/restaurants/{restaurantId}/moderation-status
- MOD-R4 PUT /api/v1/mod/dishes/{dishId}/moderation-status
- MOD-RP4 POST /api/v1/mod/reports/{reportId}/resolve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80" s="2" t="inlineStr">
        <is>
          <t>Hưng</t>
        </is>
      </c>
      <c r="F180" s="2" t="inlineStr">
        <is>
          <t>ANGI Sprint 3</t>
        </is>
      </c>
      <c r="G180" s="2" t="inlineStr">
        <is>
          <t>EP-MOD</t>
        </is>
      </c>
      <c r="H180" s="2" t="n">
        <v>2</v>
      </c>
      <c r="I180" s="2" t="inlineStr">
        <is>
          <t>14/11/2026</t>
        </is>
      </c>
      <c r="J180" s="2" t="inlineStr">
        <is>
          <t>15/11/2026</t>
        </is>
      </c>
      <c r="K180" s="2" t="inlineStr">
        <is>
          <t>backend iteration3</t>
        </is>
      </c>
      <c r="L180" s="2" t="inlineStr">
        <is>
          <t>ANGI-191</t>
        </is>
      </c>
      <c r="M180" s="2" t="inlineStr"/>
      <c r="N180" s="2" t="n">
        <v>2</v>
      </c>
      <c r="O180" s="2" t="inlineStr">
        <is>
          <t>Medium</t>
        </is>
      </c>
    </row>
    <row r="181">
      <c r="A181" s="2" t="inlineStr">
        <is>
          <t>T114</t>
        </is>
      </c>
      <c r="B181" s="2" t="inlineStr">
        <is>
          <t>Task</t>
        </is>
      </c>
      <c r="C181" s="2" t="inlineStr">
        <is>
          <t>[FE] F-57 Review Verification Submission</t>
        </is>
      </c>
      <c r="D181" s="2" t="inlineStr">
        <is>
          <t>Use case F-57 Review Verification Submission (Actor: Mod). Allows a Mod to view and review a Restaurant Owner's verification submission, including the restaurant information and the data/documents provided. The reviewer can approve or reject it according to the system's process.
Endpoint cần gọi:
- MOD-V1 GET /api/v1/mod/verifications
- MOD-V2 GET /api/v1/mod/verifications/{verificationId}
- MOD-V3 POST /api/v1/mod/verifications/{verificationId}/decision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81" s="2" t="inlineStr">
        <is>
          <t>Tuấn</t>
        </is>
      </c>
      <c r="F181" s="2" t="inlineStr">
        <is>
          <t>ANGI Sprint 3</t>
        </is>
      </c>
      <c r="G181" s="2" t="inlineStr">
        <is>
          <t>EP-MOD</t>
        </is>
      </c>
      <c r="H181" s="2" t="n">
        <v>3</v>
      </c>
      <c r="I181" s="2" t="inlineStr">
        <is>
          <t>14/11/2026</t>
        </is>
      </c>
      <c r="J181" s="2" t="inlineStr">
        <is>
          <t>15/11/2026</t>
        </is>
      </c>
      <c r="K181" s="2" t="inlineStr">
        <is>
          <t>frontend iteration3</t>
        </is>
      </c>
      <c r="L181" s="2" t="inlineStr">
        <is>
          <t>ANGI-192</t>
        </is>
      </c>
      <c r="M181" s="2" t="inlineStr"/>
      <c r="N181" s="2" t="n">
        <v>3.7</v>
      </c>
      <c r="O181" s="2" t="inlineStr">
        <is>
          <t>Medium</t>
        </is>
      </c>
    </row>
    <row r="182">
      <c r="A182" s="2" t="inlineStr">
        <is>
          <t>T156</t>
        </is>
      </c>
      <c r="B182" s="2" t="inlineStr">
        <is>
          <t>Task</t>
        </is>
      </c>
      <c r="C182" s="2" t="inlineStr">
        <is>
          <t>Reco P3: Tích hợp end-to-end + tối ưu đáp ứng &lt; 3 giây</t>
        </is>
      </c>
      <c r="D182" s="2" t="inlineStr">
        <is>
          <t>Deliverable: End-to-end Recommendation Service. | Làm sau: Reco P3: Exploration UCB + Recommend score.</t>
        </is>
      </c>
      <c r="E182" s="2" t="inlineStr">
        <is>
          <t>Dũng</t>
        </is>
      </c>
      <c r="F182" s="2" t="inlineStr">
        <is>
          <t>ANGI Sprint 3</t>
        </is>
      </c>
      <c r="G182" s="2" t="inlineStr">
        <is>
          <t>EP-RECO</t>
        </is>
      </c>
      <c r="H182" s="2" t="n">
        <v>3</v>
      </c>
      <c r="I182" s="2" t="inlineStr">
        <is>
          <t>14/11/2026</t>
        </is>
      </c>
      <c r="J182" s="2" t="inlineStr">
        <is>
          <t>16/11/2026</t>
        </is>
      </c>
      <c r="K182" s="2" t="inlineStr">
        <is>
          <t>reco</t>
        </is>
      </c>
      <c r="L182" s="2" t="inlineStr">
        <is>
          <t>ANGI-193</t>
        </is>
      </c>
      <c r="M182" s="2" t="inlineStr"/>
      <c r="N182" s="2" t="n">
        <v>3</v>
      </c>
      <c r="O182" s="2" t="inlineStr">
        <is>
          <t>Medium</t>
        </is>
      </c>
    </row>
    <row r="183">
      <c r="A183" s="3" t="inlineStr">
        <is>
          <t>T117</t>
        </is>
      </c>
      <c r="B183" s="3" t="inlineStr">
        <is>
          <t>Task</t>
        </is>
      </c>
      <c r="C183" s="3" t="inlineStr">
        <is>
          <t>[BE] F-59 Handle Restaurant Report</t>
        </is>
      </c>
      <c r="D183" s="3" t="inlineStr">
        <is>
          <t>[CRITICAL PATH] Task này nằm trên đường găng: dự phòng tối đa 1 ngày. Phải xong đúng Due Date 16/11/2026; trễ 1 ngày thì mốc "Software Package Version 3" (22/11/2026) bị trễ theo.
Ảnh hưởng trực tiếp tới: [FE] F-59 Handle Restaurant Report; Code freeze + tích hợp Iteration 3: merge PR vào dev, chạy toàn hệ thống.
Gặp vướng thì báo ngay trong ngày cho Dũng (PM), không đợi họp.
Use case F-59 Handle Restaurant Report (Actor: Mod). Allows a Mod to view and handle reports related to restaurants. The handler checks the report content and restaurant information and takes the appropriate action according to the rules.
Endpoint cần làm:
- MOD-RP1 GET /api/v1/mod/reports
- MOD-RP2 GET /api/v1/mod/reports/{reportId}
- MOD-RP3 POST /api/v1/mod/reports/{reportId}/claim
- MOD-RP4 POST /api/v1/mod/reports/{reportId}/resolve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83" s="3" t="inlineStr">
        <is>
          <t>Hưng</t>
        </is>
      </c>
      <c r="F183" s="3" t="inlineStr">
        <is>
          <t>ANGI Sprint 3</t>
        </is>
      </c>
      <c r="G183" s="3" t="inlineStr">
        <is>
          <t>EP-MOD</t>
        </is>
      </c>
      <c r="H183" s="3" t="n">
        <v>3</v>
      </c>
      <c r="I183" s="3" t="inlineStr">
        <is>
          <t>15/11/2026</t>
        </is>
      </c>
      <c r="J183" s="3" t="inlineStr">
        <is>
          <t>16/11/2026</t>
        </is>
      </c>
      <c r="K183" s="3" t="inlineStr">
        <is>
          <t>backend iteration3 critical-path</t>
        </is>
      </c>
      <c r="L183" s="3" t="inlineStr">
        <is>
          <t>ANGI-194</t>
        </is>
      </c>
      <c r="M183" s="3" t="inlineStr">
        <is>
          <t>Có</t>
        </is>
      </c>
      <c r="N183" s="3" t="n">
        <v>1</v>
      </c>
      <c r="O183" s="3" t="inlineStr">
        <is>
          <t>Highest</t>
        </is>
      </c>
    </row>
    <row r="184">
      <c r="A184" s="3" t="inlineStr">
        <is>
          <t>T127</t>
        </is>
      </c>
      <c r="B184" s="3" t="inlineStr">
        <is>
          <t>Task</t>
        </is>
      </c>
      <c r="C184" s="3" t="inlineStr">
        <is>
          <t>[BE] F-64 View System Audits Log</t>
        </is>
      </c>
      <c r="D184" s="3" t="inlineStr">
        <is>
          <t>[CRITICAL PATH] Task này nằm trên đường găng: dự phòng tối đa 1 ngày. Phải xong đúng Due Date 16/11/2026; trễ 1 ngày thì mốc "Software Package Version 3" (22/11/2026) bị trễ theo.
Ảnh hưởng trực tiếp tới: Code freeze + tích hợp Iteration 3: merge PR vào dev, chạy toàn hệ thống.
Gặp vướng thì báo ngay trong ngày cho Dũng (PM), không đợi họp.
Use case F-64 View System Audits Log (Actor: Admin). Allows an Admin to view the history of important actions recorded by the system, including administrative operations, data changes, and events needed for auditing and troubleshooting.
Endpoint cần làm:
- ADM-A1 GET /api/v1/admin/audit-logs
- ADM-A2 GET /api/v1/admin/audit-logs/{auditLogId}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is>
      </c>
      <c r="E184" s="3" t="inlineStr">
        <is>
          <t>Trọng</t>
        </is>
      </c>
      <c r="F184" s="3" t="inlineStr">
        <is>
          <t>ANGI Sprint 3</t>
        </is>
      </c>
      <c r="G184" s="3" t="inlineStr">
        <is>
          <t>EP-ADMIN</t>
        </is>
      </c>
      <c r="H184" s="3" t="n">
        <v>2</v>
      </c>
      <c r="I184" s="3" t="inlineStr">
        <is>
          <t>15/11/2026</t>
        </is>
      </c>
      <c r="J184" s="3" t="inlineStr">
        <is>
          <t>16/11/2026</t>
        </is>
      </c>
      <c r="K184" s="3" t="inlineStr">
        <is>
          <t>backend iteration3 critical-path</t>
        </is>
      </c>
      <c r="L184" s="3" t="inlineStr">
        <is>
          <t>ANGI-195</t>
        </is>
      </c>
      <c r="M184" s="3" t="inlineStr">
        <is>
          <t>Có</t>
        </is>
      </c>
      <c r="N184" s="3" t="n">
        <v>1</v>
      </c>
      <c r="O184" s="3" t="inlineStr">
        <is>
          <t>Highest</t>
        </is>
      </c>
    </row>
    <row r="185">
      <c r="A185" s="2" t="inlineStr">
        <is>
          <t>T116</t>
        </is>
      </c>
      <c r="B185" s="2" t="inlineStr">
        <is>
          <t>Task</t>
        </is>
      </c>
      <c r="C185" s="2" t="inlineStr">
        <is>
          <t>[FE] F-58 Review Pending Menu Submission</t>
        </is>
      </c>
      <c r="D185" s="2" t="inlineStr">
        <is>
          <t>Use case F-58 Review Pending Menu Submission (Actor: Mod). Allows a Mod to view and review a restaurant's menu submission awaiting approval, including the restaurant's menu information. The reviewer can approve or reject it according to the system's process.
Endpoint cần gọi:
- MOD-M1 GET /api/v1/mod/menu-submissions
- MOD-M2 GET /api/v1/mod/menu-submissions/{submissionId}
- MOD-M3 POST /api/v1/mod/menu-submissions/{submissionId}/approve
- MOD-M4 POST /api/v1/mod/menu-submissions/{submissionId}/reject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85" s="2" t="inlineStr">
        <is>
          <t>Tuấn</t>
        </is>
      </c>
      <c r="F185" s="2" t="inlineStr">
        <is>
          <t>ANGI Sprint 3</t>
        </is>
      </c>
      <c r="G185" s="2" t="inlineStr">
        <is>
          <t>EP-MOD</t>
        </is>
      </c>
      <c r="H185" s="2" t="n">
        <v>3</v>
      </c>
      <c r="I185" s="2" t="inlineStr">
        <is>
          <t>15/11/2026</t>
        </is>
      </c>
      <c r="J185" s="2" t="inlineStr">
        <is>
          <t>16/11/2026</t>
        </is>
      </c>
      <c r="K185" s="2" t="inlineStr">
        <is>
          <t>frontend iteration3</t>
        </is>
      </c>
      <c r="L185" s="2" t="inlineStr">
        <is>
          <t>ANGI-196</t>
        </is>
      </c>
      <c r="M185" s="2" t="inlineStr"/>
      <c r="N185" s="2" t="n">
        <v>2.6</v>
      </c>
      <c r="O185" s="2" t="inlineStr">
        <is>
          <t>Medium</t>
        </is>
      </c>
    </row>
    <row r="186">
      <c r="A186" s="2" t="inlineStr">
        <is>
          <t>T124</t>
        </is>
      </c>
      <c r="B186" s="2" t="inlineStr">
        <is>
          <t>Task</t>
        </is>
      </c>
      <c r="C186" s="2" t="inlineStr">
        <is>
          <t>[FE] F-62 Moderate User Feedback</t>
        </is>
      </c>
      <c r="D186" s="2" t="inlineStr">
        <is>
          <t>Use case F-62 Moderate User Feedback (Actor: Mod). Allows a Mod to review and handle feedback or reviews submitted by users when the content is reported or violates the rules.
Endpoint cần gọi:
- MOD-F1 GET /api/v1/mod/reviews
- MOD-F2 PUT /api/v1/mod/reviews/{reviewId}/status
- MOD-F3 PUT /api/v1/mod/reviews/{reviewId}/reply/status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86" s="2" t="inlineStr">
        <is>
          <t>Đức</t>
        </is>
      </c>
      <c r="F186" s="2" t="inlineStr">
        <is>
          <t>ANGI Sprint 3</t>
        </is>
      </c>
      <c r="G186" s="2" t="inlineStr">
        <is>
          <t>EP-MOD</t>
        </is>
      </c>
      <c r="H186" s="2" t="n">
        <v>2</v>
      </c>
      <c r="I186" s="2" t="inlineStr">
        <is>
          <t>15/11/2026</t>
        </is>
      </c>
      <c r="J186" s="2" t="inlineStr">
        <is>
          <t>16/11/2026</t>
        </is>
      </c>
      <c r="K186" s="2" t="inlineStr">
        <is>
          <t>frontend iteration3</t>
        </is>
      </c>
      <c r="L186" s="2" t="inlineStr">
        <is>
          <t>ANGI-197</t>
        </is>
      </c>
      <c r="M186" s="2" t="inlineStr"/>
      <c r="N186" s="2" t="n">
        <v>2.4</v>
      </c>
      <c r="O186" s="2" t="inlineStr">
        <is>
          <t>Medium</t>
        </is>
      </c>
    </row>
    <row r="187">
      <c r="A187" s="3" t="inlineStr">
        <is>
          <t>T110</t>
        </is>
      </c>
      <c r="B187" s="3" t="inlineStr">
        <is>
          <t>Task</t>
        </is>
      </c>
      <c r="C187" s="3" t="inlineStr">
        <is>
          <t>[FE] F-55 View User Audit Logs</t>
        </is>
      </c>
      <c r="D187" s="3" t="inlineStr">
        <is>
          <t>[CRITICAL PATH] Task này nằm trên đường găng: dự phòng tối đa 1 ngày. Phải xong đúng Due Date 17/11/2026; trễ 1 ngày thì mốc "Software Package Version 3" (22/11/2026) bị trễ theo.
Ảnh hưởng trực tiếp tới: Code freeze + tích hợp Iteration 3: merge PR vào dev, chạy toàn hệ thống.
Cần xong trước khi bắt đầu: Wireframe/mockup các màn hình Iteration 3.
Làm song song với [BE] F-55 View User Audit Logs (dùng mock data), nối API thật khi BE merge.
Gặp vướng thì báo ngay trong ngày cho Dũng (PM), không đợi họp.
Use case F-55 View User Audit Logs (Actor: Mod). Allows a Mod to view the history of important activities related to user accounts. The system shows the audit records needed to support activity tracking and review.
Endpoint cần gọi:
- MOD-U5 GET /api/v1/mod/users/{userId}/audit-logs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is>
      </c>
      <c r="E187" s="3" t="inlineStr">
        <is>
          <t>Đức</t>
        </is>
      </c>
      <c r="F187" s="3" t="inlineStr">
        <is>
          <t>ANGI Sprint 3</t>
        </is>
      </c>
      <c r="G187" s="3" t="inlineStr">
        <is>
          <t>EP-MOD</t>
        </is>
      </c>
      <c r="H187" s="3" t="n">
        <v>2</v>
      </c>
      <c r="I187" s="3" t="inlineStr">
        <is>
          <t>16/11/2026</t>
        </is>
      </c>
      <c r="J187" s="3" t="inlineStr">
        <is>
          <t>17/11/2026</t>
        </is>
      </c>
      <c r="K187" s="3" t="inlineStr">
        <is>
          <t>frontend iteration3 critical-path</t>
        </is>
      </c>
      <c r="L187" s="3" t="inlineStr">
        <is>
          <t>ANGI-198</t>
        </is>
      </c>
      <c r="M187" s="3" t="inlineStr">
        <is>
          <t>Có</t>
        </is>
      </c>
      <c r="N187" s="3" t="n">
        <v>1</v>
      </c>
      <c r="O187" s="3" t="inlineStr">
        <is>
          <t>Highest</t>
        </is>
      </c>
    </row>
    <row r="188">
      <c r="A188" s="2" t="inlineStr">
        <is>
          <t>T112</t>
        </is>
      </c>
      <c r="B188" s="2" t="inlineStr">
        <is>
          <t>Task</t>
        </is>
      </c>
      <c r="C188" s="2" t="inlineStr">
        <is>
          <t>[FE] F-56 Moderate Restaurant</t>
        </is>
      </c>
      <c r="D188" s="2" t="inlineStr">
        <is>
          <t>Use case F-56 Moderate Restaurant (Actor: Mod). Allows a Mod to review and handle restaurant-related issues in the system, such as incorrect information, rule violations, or reports from users.
Endpoint cần gọi:
- MOD-R1 GET /api/v1/mod/restaurants
- MOD-R2 GET /api/v1/mod/restaurants/{restaurantId}
- MOD-R3 PUT /api/v1/mod/restaurants/{restaurantId}/moderation-status
- MOD-R4 PUT /api/v1/mod/dishes/{dishId}/moderation-status
- MOD-RP4 POST /api/v1/mod/reports/{reportId}/resolve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88" s="2" t="inlineStr">
        <is>
          <t>Tuấn</t>
        </is>
      </c>
      <c r="F188" s="2" t="inlineStr">
        <is>
          <t>ANGI Sprint 3</t>
        </is>
      </c>
      <c r="G188" s="2" t="inlineStr">
        <is>
          <t>EP-MOD</t>
        </is>
      </c>
      <c r="H188" s="2" t="n">
        <v>2</v>
      </c>
      <c r="I188" s="2" t="inlineStr">
        <is>
          <t>16/11/2026</t>
        </is>
      </c>
      <c r="J188" s="2" t="inlineStr">
        <is>
          <t>17/11/2026</t>
        </is>
      </c>
      <c r="K188" s="2" t="inlineStr">
        <is>
          <t>frontend iteration3</t>
        </is>
      </c>
      <c r="L188" s="2" t="inlineStr">
        <is>
          <t>ANGI-199</t>
        </is>
      </c>
      <c r="M188" s="2" t="inlineStr"/>
      <c r="N188" s="2" t="n">
        <v>1.8</v>
      </c>
      <c r="O188" s="2" t="inlineStr">
        <is>
          <t>Medium</t>
        </is>
      </c>
    </row>
    <row r="189">
      <c r="A189" s="3" t="inlineStr">
        <is>
          <t>T118</t>
        </is>
      </c>
      <c r="B189" s="3" t="inlineStr">
        <is>
          <t>Task</t>
        </is>
      </c>
      <c r="C189" s="3" t="inlineStr">
        <is>
          <t>[FE] F-59 Handle Restaurant Report</t>
        </is>
      </c>
      <c r="D189" s="3" t="inlineStr">
        <is>
          <t>[CRITICAL PATH] Task này nằm trên đường găng: dự phòng tối đa 1 ngày. Phải xong đúng Due Date 17/11/2026; trễ 1 ngày thì mốc "Software Package Version 3" (22/11/2026) bị trễ theo.
Ảnh hưởng trực tiếp tới: Code freeze + tích hợp Iteration 3: merge PR vào dev, chạy toàn hệ thống.
Cần xong trước khi bắt đầu: Wireframe/mockup các màn hình Iteration 3.
Làm song song với [BE] F-59 Handle Restaurant Report (dùng mock data), nối API thật khi BE merge.
Gặp vướng thì báo ngay trong ngày cho Dũng (PM), không đợi họp.
Use case F-59 Handle Restaurant Report (Actor: Mod). Allows a Mod to view and handle reports related to restaurants. The handler checks the report content and restaurant information and takes the appropriate action according to the rules.
Endpoint cần gọi:
- MOD-RP1 GET /api/v1/mod/reports
- MOD-RP2 GET /api/v1/mod/reports/{reportId}
- MOD-RP3 POST /api/v1/mod/reports/{reportId}/claim
- MOD-RP4 POST /api/v1/mod/reports/{reportId}/resolve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is>
      </c>
      <c r="E189" s="3" t="inlineStr">
        <is>
          <t>Tuấn</t>
        </is>
      </c>
      <c r="F189" s="3" t="inlineStr">
        <is>
          <t>ANGI Sprint 3</t>
        </is>
      </c>
      <c r="G189" s="3" t="inlineStr">
        <is>
          <t>EP-MOD</t>
        </is>
      </c>
      <c r="H189" s="3" t="n">
        <v>2</v>
      </c>
      <c r="I189" s="3" t="inlineStr">
        <is>
          <t>17/11/2026</t>
        </is>
      </c>
      <c r="J189" s="3" t="inlineStr">
        <is>
          <t>17/11/2026</t>
        </is>
      </c>
      <c r="K189" s="3" t="inlineStr">
        <is>
          <t>frontend iteration3 critical-path</t>
        </is>
      </c>
      <c r="L189" s="3" t="inlineStr">
        <is>
          <t>ANGI-200</t>
        </is>
      </c>
      <c r="M189" s="3" t="inlineStr">
        <is>
          <t>Có</t>
        </is>
      </c>
      <c r="N189" s="3" t="n">
        <v>1</v>
      </c>
      <c r="O189" s="3" t="inlineStr">
        <is>
          <t>Highest</t>
        </is>
      </c>
    </row>
    <row r="190">
      <c r="A190" s="2" t="inlineStr">
        <is>
          <t>T167</t>
        </is>
      </c>
      <c r="B190" s="2" t="inlineStr">
        <is>
          <t>Task</t>
        </is>
      </c>
      <c r="C190" s="2" t="inlineStr">
        <is>
          <t>Unit Testing Report Iteration 3</t>
        </is>
      </c>
      <c r="D190" s="2" t="inlineStr">
        <is>
          <t>Mỗi dev tối thiểu 2 method/module; Trọng tổng hợp.</t>
        </is>
      </c>
      <c r="E190" s="2" t="inlineStr">
        <is>
          <t>Trọng</t>
        </is>
      </c>
      <c r="F190" s="2" t="inlineStr">
        <is>
          <t>ANGI Sprint 3</t>
        </is>
      </c>
      <c r="G190" s="2" t="inlineStr">
        <is>
          <t>EP-DOC</t>
        </is>
      </c>
      <c r="H190" s="2" t="n">
        <v>1</v>
      </c>
      <c r="I190" s="2" t="inlineStr">
        <is>
          <t>17/11/2026</t>
        </is>
      </c>
      <c r="J190" s="2" t="inlineStr">
        <is>
          <t>17/11/2026</t>
        </is>
      </c>
      <c r="K190" s="2" t="inlineStr">
        <is>
          <t>docs</t>
        </is>
      </c>
      <c r="L190" s="2" t="inlineStr">
        <is>
          <t>ANGI-201</t>
        </is>
      </c>
      <c r="M190" s="2" t="inlineStr"/>
      <c r="N190" s="2" t="n">
        <v>26</v>
      </c>
      <c r="O190" s="2" t="inlineStr">
        <is>
          <t>Medium</t>
        </is>
      </c>
    </row>
    <row r="191">
      <c r="A191" s="3" t="inlineStr">
        <is>
          <t>T180</t>
        </is>
      </c>
      <c r="B191" s="3" t="inlineStr">
        <is>
          <t>Task</t>
        </is>
      </c>
      <c r="C191" s="3" t="inlineStr">
        <is>
          <t>Report 5: Integration Test Cases Iteration 3</t>
        </is>
      </c>
      <c r="D191" s="3" t="inlineStr">
        <is>
          <t>[CRITICAL PATH] Task này nằm trên đường găng: dự phòng tối đa 1 ngày. Phải xong đúng Due Date 18/11/2026; trễ 1 ngày thì mốc "Software Package Version 3" (22/11/2026) bị trễ theo.
Ảnh hưởng trực tiếp tới: Report 5: Integration Test Report Iteration 3.
Gặp vướng thì báo ngay trong ngày cho Dũng (PM), không đợi họp.
Viết theo use case Iteration 3 (ANGI_Use_Case_Basic_Descriptions_Ver1.0) và endpoint tương ứng (ANGI_API_Design_Ver1.7).</t>
        </is>
      </c>
      <c r="E191" s="3" t="inlineStr">
        <is>
          <t>Đức</t>
        </is>
      </c>
      <c r="F191" s="3" t="inlineStr">
        <is>
          <t>ANGI Sprint 3</t>
        </is>
      </c>
      <c r="G191" s="3" t="inlineStr">
        <is>
          <t>EP-QA</t>
        </is>
      </c>
      <c r="H191" s="3" t="n">
        <v>2</v>
      </c>
      <c r="I191" s="3" t="inlineStr">
        <is>
          <t>17/11/2026</t>
        </is>
      </c>
      <c r="J191" s="3" t="inlineStr">
        <is>
          <t>18/11/2026</t>
        </is>
      </c>
      <c r="K191" s="3" t="inlineStr">
        <is>
          <t>qa critical-path</t>
        </is>
      </c>
      <c r="L191" s="3" t="inlineStr">
        <is>
          <t>ANGI-202</t>
        </is>
      </c>
      <c r="M191" s="3" t="inlineStr">
        <is>
          <t>Có</t>
        </is>
      </c>
      <c r="N191" s="3" t="n">
        <v>1</v>
      </c>
      <c r="O191" s="3" t="inlineStr">
        <is>
          <t>Highest</t>
        </is>
      </c>
    </row>
    <row r="192">
      <c r="A192" s="3" t="inlineStr">
        <is>
          <t>T173</t>
        </is>
      </c>
      <c r="B192" s="3" t="inlineStr">
        <is>
          <t>Task</t>
        </is>
      </c>
      <c r="C192" s="3" t="inlineStr">
        <is>
          <t>Code freeze + tích hợp Iteration 3: merge PR vào dev, chạy toàn hệ thống</t>
        </is>
      </c>
      <c r="D192" s="3" t="inlineStr">
        <is>
          <t>[CRITICAL PATH] Task này nằm trên đường găng: dự phòng tối đa 1 ngày. Phải xong đúng Due Date 18/11/2026; trễ 1 ngày thì mốc "Software Package Version 3" (22/11/2026) bị trễ theo.
Ảnh hưởng trực tiếp tới: Report 5: Integration Test Report Iteration 3.
Cần xong trước khi bắt đầu: toàn bộ 33 task code (BE, FE, Reco) của ANGI Sprint 3.
Gặp vướng thì báo ngay trong ngày cho Dũng (PM), không đợi họp.
Hết ngày code due mọi PR của iteration phải được review và merge vào dev. Ngày này: merge PR còn lại, khóa dev (chỉ nhận PR fix bug), chạy backend + reco + frontend từ dev, smoke test các luồng chính, gắn tag iteration-3. Sau đó Đức/Trọng chạy integration test; lỗi tìm được tạo issue Bug giao cho người làm feature đó, sửa trước ngày phát hành bản của iteration.</t>
        </is>
      </c>
      <c r="E192" s="3" t="inlineStr">
        <is>
          <t>Dũng</t>
        </is>
      </c>
      <c r="F192" s="3" t="inlineStr">
        <is>
          <t>ANGI Sprint 3</t>
        </is>
      </c>
      <c r="G192" s="3" t="inlineStr">
        <is>
          <t>EP-QA</t>
        </is>
      </c>
      <c r="H192" s="3" t="n">
        <v>2</v>
      </c>
      <c r="I192" s="3" t="inlineStr">
        <is>
          <t>18/11/2026</t>
        </is>
      </c>
      <c r="J192" s="3" t="inlineStr">
        <is>
          <t>18/11/2026</t>
        </is>
      </c>
      <c r="K192" s="3" t="inlineStr">
        <is>
          <t>release critical-path</t>
        </is>
      </c>
      <c r="L192" s="3" t="inlineStr">
        <is>
          <t>ANGI-203</t>
        </is>
      </c>
      <c r="M192" s="3" t="inlineStr">
        <is>
          <t>Có</t>
        </is>
      </c>
      <c r="N192" s="3" t="n">
        <v>1</v>
      </c>
      <c r="O192" s="3" t="inlineStr">
        <is>
          <t>Highest</t>
        </is>
      </c>
    </row>
    <row r="193">
      <c r="A193" s="3" t="inlineStr">
        <is>
          <t>T181</t>
        </is>
      </c>
      <c r="B193" s="3" t="inlineStr">
        <is>
          <t>Task</t>
        </is>
      </c>
      <c r="C193" s="3" t="inlineStr">
        <is>
          <t>Report 5: Integration Test Report Iteration 3</t>
        </is>
      </c>
      <c r="D193" s="3" t="inlineStr">
        <is>
          <t>[CRITICAL PATH] Task này nằm trên đường găng: dự phòng tối đa 1 ngày. Phải xong đúng Due Date 20/11/2026; trễ 1 ngày thì mốc "Software Package Version 3" (22/11/2026) bị trễ theo.
Ảnh hưởng trực tiếp tới: Software Package Version 3 (deploy + release note).
Cần xong trước khi bắt đầu: Code freeze + tích hợp Iteration 3: merge PR vào dev, chạy toàn hệ thống; Report 5: Integration Test Cases Iteration 3.
Gặp vướng thì báo ngay trong ngày cho Dũng (PM), không đợi họp.
Chạy test case trên bản tag iteration-3; lỗi tạo issue Bug.</t>
        </is>
      </c>
      <c r="E193" s="3" t="inlineStr">
        <is>
          <t>Trọng</t>
        </is>
      </c>
      <c r="F193" s="3" t="inlineStr">
        <is>
          <t>ANGI Sprint 3</t>
        </is>
      </c>
      <c r="G193" s="3" t="inlineStr">
        <is>
          <t>EP-QA</t>
        </is>
      </c>
      <c r="H193" s="3" t="n">
        <v>2</v>
      </c>
      <c r="I193" s="3" t="inlineStr">
        <is>
          <t>19/11/2026</t>
        </is>
      </c>
      <c r="J193" s="3" t="inlineStr">
        <is>
          <t>20/11/2026</t>
        </is>
      </c>
      <c r="K193" s="3" t="inlineStr">
        <is>
          <t>qa critical-path</t>
        </is>
      </c>
      <c r="L193" s="3" t="inlineStr">
        <is>
          <t>ANGI-204</t>
        </is>
      </c>
      <c r="M193" s="3" t="inlineStr">
        <is>
          <t>Có</t>
        </is>
      </c>
      <c r="N193" s="3" t="n">
        <v>1</v>
      </c>
      <c r="O193" s="3" t="inlineStr">
        <is>
          <t>Highest</t>
        </is>
      </c>
    </row>
    <row r="194">
      <c r="A194" s="3" t="inlineStr">
        <is>
          <t>T182</t>
        </is>
      </c>
      <c r="B194" s="3" t="inlineStr">
        <is>
          <t>Task</t>
        </is>
      </c>
      <c r="C194" s="3" t="inlineStr">
        <is>
          <t>Report 5: System Test Cases</t>
        </is>
      </c>
      <c r="D194" s="3" t="inlineStr">
        <is>
          <t>[CRITICAL PATH] Task này nằm trên đường găng: dự phòng tối đa 1 ngày. Phải xong đúng Due Date 21/11/2026; trễ 1 ngày thì mốc "Final Software Package" (06/12/2026) bị trễ theo.
Ảnh hưởng trực tiếp tới: Report 5: System Test Report (chạy system test).
Gặp vướng thì báo ngay trong ngày cho Dũng (PM), không đợi họp.
Phủ đủ 66 use case trong ANGI_Use_Case_Basic_Descriptions_Ver1.0.</t>
        </is>
      </c>
      <c r="E194" s="3" t="inlineStr">
        <is>
          <t>Đức</t>
        </is>
      </c>
      <c r="F194" s="3" t="inlineStr">
        <is>
          <t>ANGI Sprint 3</t>
        </is>
      </c>
      <c r="G194" s="3" t="inlineStr">
        <is>
          <t>EP-QA</t>
        </is>
      </c>
      <c r="H194" s="3" t="n">
        <v>3</v>
      </c>
      <c r="I194" s="3" t="inlineStr">
        <is>
          <t>19/11/2026</t>
        </is>
      </c>
      <c r="J194" s="3" t="inlineStr">
        <is>
          <t>21/11/2026</t>
        </is>
      </c>
      <c r="K194" s="3" t="inlineStr">
        <is>
          <t>qa critical-path</t>
        </is>
      </c>
      <c r="L194" s="3" t="inlineStr">
        <is>
          <t>ANGI-205</t>
        </is>
      </c>
      <c r="M194" s="3" t="inlineStr">
        <is>
          <t>Có</t>
        </is>
      </c>
      <c r="N194" s="3" t="n">
        <v>1</v>
      </c>
      <c r="O194" s="3" t="inlineStr">
        <is>
          <t>Highest</t>
        </is>
      </c>
    </row>
    <row r="195">
      <c r="A195" s="3" t="inlineStr">
        <is>
          <t>T206</t>
        </is>
      </c>
      <c r="B195" s="3" t="inlineStr">
        <is>
          <t>Task</t>
        </is>
      </c>
      <c r="C195" s="3" t="inlineStr">
        <is>
          <t>Fix bug integration test Iteration 3 (backend)</t>
        </is>
      </c>
      <c r="D195" s="3" t="inlineStr">
        <is>
          <t>[CRITICAL PATH] Task này nằm trên đường găng: dự phòng tối đa 1 ngày. Phải xong đúng Due Date 21/11/2026; trễ 1 ngày thì mốc "Software Package Version 3" (22/11/2026) bị trễ theo.
Ảnh hưởng trực tiếp tới: Software Package Version 3 (deploy + release note).
Gặp vướng thì báo ngay trong ngày cho Dũng (PM), không đợi họp.
Sửa các Bug tạo ra từ Integration Test Iteration 3 thuộc phần mình làm, merge vào dev trước ngày phát hành Software Package V3. Không có bug thì đóng task.</t>
        </is>
      </c>
      <c r="E195" s="3" t="inlineStr">
        <is>
          <t>Hưng</t>
        </is>
      </c>
      <c r="F195" s="3" t="inlineStr">
        <is>
          <t>ANGI Sprint 3</t>
        </is>
      </c>
      <c r="G195" s="3" t="inlineStr">
        <is>
          <t>EP-QA</t>
        </is>
      </c>
      <c r="H195" s="3" t="n">
        <v>1</v>
      </c>
      <c r="I195" s="3" t="inlineStr">
        <is>
          <t>19/11/2026</t>
        </is>
      </c>
      <c r="J195" s="3" t="inlineStr">
        <is>
          <t>21/11/2026</t>
        </is>
      </c>
      <c r="K195" s="3" t="inlineStr">
        <is>
          <t>bugfix critical-path</t>
        </is>
      </c>
      <c r="L195" s="3" t="inlineStr">
        <is>
          <t>ANGI-206</t>
        </is>
      </c>
      <c r="M195" s="3" t="inlineStr">
        <is>
          <t>Có</t>
        </is>
      </c>
      <c r="N195" s="3" t="n">
        <v>0</v>
      </c>
      <c r="O195" s="3" t="inlineStr">
        <is>
          <t>Highest</t>
        </is>
      </c>
    </row>
    <row r="196">
      <c r="A196" s="3" t="inlineStr">
        <is>
          <t>T207</t>
        </is>
      </c>
      <c r="B196" s="3" t="inlineStr">
        <is>
          <t>Task</t>
        </is>
      </c>
      <c r="C196" s="3" t="inlineStr">
        <is>
          <t>Fix bug integration test Iteration 3 (backend)</t>
        </is>
      </c>
      <c r="D196" s="3" t="inlineStr">
        <is>
          <t>[CRITICAL PATH] Task này nằm trên đường găng: dự phòng tối đa 1 ngày. Phải xong đúng Due Date 21/11/2026; trễ 1 ngày thì mốc "Software Package Version 3" (22/11/2026) bị trễ theo.
Ảnh hưởng trực tiếp tới: Software Package Version 3 (deploy + release note).
Gặp vướng thì báo ngay trong ngày cho Dũng (PM), không đợi họp.
Sửa các Bug tạo ra từ Integration Test Iteration 3 thuộc phần mình làm, merge vào dev trước ngày phát hành Software Package V3. Không có bug thì đóng task.</t>
        </is>
      </c>
      <c r="E196" s="3" t="inlineStr">
        <is>
          <t>Trọng</t>
        </is>
      </c>
      <c r="F196" s="3" t="inlineStr">
        <is>
          <t>ANGI Sprint 3</t>
        </is>
      </c>
      <c r="G196" s="3" t="inlineStr">
        <is>
          <t>EP-QA</t>
        </is>
      </c>
      <c r="H196" s="3" t="n">
        <v>1</v>
      </c>
      <c r="I196" s="3" t="inlineStr">
        <is>
          <t>19/11/2026</t>
        </is>
      </c>
      <c r="J196" s="3" t="inlineStr">
        <is>
          <t>21/11/2026</t>
        </is>
      </c>
      <c r="K196" s="3" t="inlineStr">
        <is>
          <t>bugfix critical-path</t>
        </is>
      </c>
      <c r="L196" s="3" t="inlineStr">
        <is>
          <t>ANGI-207</t>
        </is>
      </c>
      <c r="M196" s="3" t="inlineStr">
        <is>
          <t>Có</t>
        </is>
      </c>
      <c r="N196" s="3" t="n">
        <v>0</v>
      </c>
      <c r="O196" s="3" t="inlineStr">
        <is>
          <t>Highest</t>
        </is>
      </c>
    </row>
    <row r="197">
      <c r="A197" s="3" t="inlineStr">
        <is>
          <t>T208</t>
        </is>
      </c>
      <c r="B197" s="3" t="inlineStr">
        <is>
          <t>Task</t>
        </is>
      </c>
      <c r="C197" s="3" t="inlineStr">
        <is>
          <t>Fix bug integration test Iteration 3 (frontend)</t>
        </is>
      </c>
      <c r="D197" s="3" t="inlineStr">
        <is>
          <t>[CRITICAL PATH] Task này nằm trên đường găng: dự phòng tối đa 1 ngày. Phải xong đúng Due Date 21/11/2026; trễ 1 ngày thì mốc "Software Package Version 3" (22/11/2026) bị trễ theo.
Ảnh hưởng trực tiếp tới: Software Package Version 3 (deploy + release note).
Gặp vướng thì báo ngay trong ngày cho Dũng (PM), không đợi họp.
Sửa các Bug tạo ra từ Integration Test Iteration 3 thuộc phần mình làm, merge vào dev trước ngày phát hành Software Package V3. Không có bug thì đóng task.</t>
        </is>
      </c>
      <c r="E197" s="3" t="inlineStr">
        <is>
          <t>Tuấn</t>
        </is>
      </c>
      <c r="F197" s="3" t="inlineStr">
        <is>
          <t>ANGI Sprint 3</t>
        </is>
      </c>
      <c r="G197" s="3" t="inlineStr">
        <is>
          <t>EP-QA</t>
        </is>
      </c>
      <c r="H197" s="3" t="n">
        <v>1</v>
      </c>
      <c r="I197" s="3" t="inlineStr">
        <is>
          <t>19/11/2026</t>
        </is>
      </c>
      <c r="J197" s="3" t="inlineStr">
        <is>
          <t>21/11/2026</t>
        </is>
      </c>
      <c r="K197" s="3" t="inlineStr">
        <is>
          <t>bugfix critical-path</t>
        </is>
      </c>
      <c r="L197" s="3" t="inlineStr">
        <is>
          <t>ANGI-208</t>
        </is>
      </c>
      <c r="M197" s="3" t="inlineStr">
        <is>
          <t>Có</t>
        </is>
      </c>
      <c r="N197" s="3" t="n">
        <v>0</v>
      </c>
      <c r="O197" s="3" t="inlineStr">
        <is>
          <t>Highest</t>
        </is>
      </c>
    </row>
    <row r="198">
      <c r="A198" s="3" t="inlineStr">
        <is>
          <t>T209</t>
        </is>
      </c>
      <c r="B198" s="3" t="inlineStr">
        <is>
          <t>Task</t>
        </is>
      </c>
      <c r="C198" s="3" t="inlineStr">
        <is>
          <t>Fix bug integration test Iteration 3 (frontend)</t>
        </is>
      </c>
      <c r="D198" s="3" t="inlineStr">
        <is>
          <t>[CRITICAL PATH] Task này nằm trên đường găng: dự phòng tối đa 1 ngày. Phải xong đúng Due Date 21/11/2026; trễ 1 ngày thì mốc "Software Package Version 3" (22/11/2026) bị trễ theo.
Ảnh hưởng trực tiếp tới: Software Package Version 3 (deploy + release note).
Gặp vướng thì báo ngay trong ngày cho Dũng (PM), không đợi họp.
Sửa các Bug tạo ra từ Integration Test Iteration 3 thuộc phần mình làm, merge vào dev trước ngày phát hành Software Package V3. Không có bug thì đóng task.</t>
        </is>
      </c>
      <c r="E198" s="3" t="inlineStr">
        <is>
          <t>Đức</t>
        </is>
      </c>
      <c r="F198" s="3" t="inlineStr">
        <is>
          <t>ANGI Sprint 3</t>
        </is>
      </c>
      <c r="G198" s="3" t="inlineStr">
        <is>
          <t>EP-QA</t>
        </is>
      </c>
      <c r="H198" s="3" t="n">
        <v>1</v>
      </c>
      <c r="I198" s="3" t="inlineStr">
        <is>
          <t>19/11/2026</t>
        </is>
      </c>
      <c r="J198" s="3" t="inlineStr">
        <is>
          <t>21/11/2026</t>
        </is>
      </c>
      <c r="K198" s="3" t="inlineStr">
        <is>
          <t>bugfix critical-path</t>
        </is>
      </c>
      <c r="L198" s="3" t="inlineStr">
        <is>
          <t>ANGI-209</t>
        </is>
      </c>
      <c r="M198" s="3" t="inlineStr">
        <is>
          <t>Có</t>
        </is>
      </c>
      <c r="N198" s="3" t="n">
        <v>0</v>
      </c>
      <c r="O198" s="3" t="inlineStr">
        <is>
          <t>Highest</t>
        </is>
      </c>
    </row>
    <row r="199">
      <c r="A199" s="3" t="inlineStr">
        <is>
          <t>T210</t>
        </is>
      </c>
      <c r="B199" s="3" t="inlineStr">
        <is>
          <t>Task</t>
        </is>
      </c>
      <c r="C199" s="3" t="inlineStr">
        <is>
          <t>Fix bug integration test Iteration 3 (reco + hạ tầng)</t>
        </is>
      </c>
      <c r="D199" s="3" t="inlineStr">
        <is>
          <t>[CRITICAL PATH] Task này nằm trên đường găng: dự phòng tối đa 1 ngày. Phải xong đúng Due Date 21/11/2026; trễ 1 ngày thì mốc "Software Package Version 3" (22/11/2026) bị trễ theo.
Ảnh hưởng trực tiếp tới: Software Package Version 3 (deploy + release note).
Gặp vướng thì báo ngay trong ngày cho Dũng (PM), không đợi họp.
Sửa các Bug tạo ra từ Integration Test Iteration 3 thuộc phần mình làm, merge vào dev trước ngày phát hành Software Package V3. Không có bug thì đóng task.</t>
        </is>
      </c>
      <c r="E199" s="3" t="inlineStr">
        <is>
          <t>Dũng</t>
        </is>
      </c>
      <c r="F199" s="3" t="inlineStr">
        <is>
          <t>ANGI Sprint 3</t>
        </is>
      </c>
      <c r="G199" s="3" t="inlineStr">
        <is>
          <t>EP-QA</t>
        </is>
      </c>
      <c r="H199" s="3" t="n">
        <v>1</v>
      </c>
      <c r="I199" s="3" t="inlineStr">
        <is>
          <t>19/11/2026</t>
        </is>
      </c>
      <c r="J199" s="3" t="inlineStr">
        <is>
          <t>21/11/2026</t>
        </is>
      </c>
      <c r="K199" s="3" t="inlineStr">
        <is>
          <t>bugfix critical-path</t>
        </is>
      </c>
      <c r="L199" s="3" t="inlineStr">
        <is>
          <t>ANGI-210</t>
        </is>
      </c>
      <c r="M199" s="3" t="inlineStr">
        <is>
          <t>Có</t>
        </is>
      </c>
      <c r="N199" s="3" t="n">
        <v>0</v>
      </c>
      <c r="O199" s="3" t="inlineStr">
        <is>
          <t>Highest</t>
        </is>
      </c>
    </row>
    <row r="200">
      <c r="A200" s="3" t="inlineStr">
        <is>
          <t>T183</t>
        </is>
      </c>
      <c r="B200" s="3" t="inlineStr">
        <is>
          <t>Task</t>
        </is>
      </c>
      <c r="C200" s="3" t="inlineStr">
        <is>
          <t>Software Package Version 3 (deploy + release note)</t>
        </is>
      </c>
      <c r="D200" s="3" t="inlineStr">
        <is>
          <t>[CRITICAL PATH] Task này nằm trên đường găng: dự phòng tối đa 1 ngày. Phải xong đúng Due Date 22/11/2026; trễ 1 ngày thì đây chính là mốc giao nộp.
Ảnh hưởng trực tiếp tới: Report 5: System Test Report (chạy system test).
Cần xong trước khi bắt đầu: Report 5: Integration Test Report Iteration 3; Fix bug integration test Iteration 3 (backend); Fix bug integration test Iteration 3 (backend); Fix bug integration test Iteration 3 (frontend); Fix bug integration test Iteration 3 (frontend); Fix bug integration test Iteration 3 (reco + hạ tầng).
Gặp vướng thì báo ngay trong ngày cho Dũng (PM), không đợi họp.
Deploy bản của iteration từ tag iteration-3 lên Render (backend, reco, PostgreSQL) và Vercel (frontend); viết release note liệt kê feature đã xong và lỗi còn tồn.</t>
        </is>
      </c>
      <c r="E200" s="3" t="inlineStr">
        <is>
          <t>Dũng</t>
        </is>
      </c>
      <c r="F200" s="3" t="inlineStr">
        <is>
          <t>ANGI Sprint 3</t>
        </is>
      </c>
      <c r="G200" s="3" t="inlineStr">
        <is>
          <t>EP-QA</t>
        </is>
      </c>
      <c r="H200" s="3" t="n">
        <v>1</v>
      </c>
      <c r="I200" s="3" t="inlineStr">
        <is>
          <t>22/11/2026</t>
        </is>
      </c>
      <c r="J200" s="3" t="inlineStr">
        <is>
          <t>22/11/2026</t>
        </is>
      </c>
      <c r="K200" s="3" t="inlineStr">
        <is>
          <t>release critical-path</t>
        </is>
      </c>
      <c r="L200" s="3" t="inlineStr">
        <is>
          <t>ANGI-211</t>
        </is>
      </c>
      <c r="M200" s="3" t="inlineStr">
        <is>
          <t>Có</t>
        </is>
      </c>
      <c r="N200" s="3" t="n">
        <v>0</v>
      </c>
      <c r="O200" s="3" t="inlineStr">
        <is>
          <t>Highest</t>
        </is>
      </c>
    </row>
    <row r="201">
      <c r="A201" s="3" t="inlineStr">
        <is>
          <t>T184</t>
        </is>
      </c>
      <c r="B201" s="3" t="inlineStr">
        <is>
          <t>Task</t>
        </is>
      </c>
      <c r="C201" s="3" t="inlineStr">
        <is>
          <t>Report 5: System Test Report (chạy system test)</t>
        </is>
      </c>
      <c r="D201" s="3" t="inlineStr">
        <is>
          <t>[CRITICAL PATH] Task này nằm trên đường găng: dự phòng tối đa 1 ngày. Phải xong đúng Due Date 25/11/2026; trễ 1 ngày thì mốc "Final Software Package" (06/12/2026) bị trễ theo.
Ảnh hưởng trực tiếp tới: Fix bug backend sau system test (auth, restaurant, roadmap); Fix bug backend sau system test (account, discovery, blog, moderation, admin); Fix bug frontend sau system test (owner, roadmap, admin); Fix bug frontend sau system test (auth, discovery, blog, moderation); Fix bug reco + hạ tầng sau system test.
Cần xong trước khi bắt đầu: Software Package Version 3 (deploy + release note); Report 5: System Test Cases.
Gặp vướng thì báo ngay trong ngày cho Dũng (PM), không đợi họp.
Trọng hỗ trợ chạy test backend.</t>
        </is>
      </c>
      <c r="E201" s="3" t="inlineStr">
        <is>
          <t>Đức</t>
        </is>
      </c>
      <c r="F201" s="3" t="inlineStr">
        <is>
          <t>ANGI Sprint 4</t>
        </is>
      </c>
      <c r="G201" s="3" t="inlineStr">
        <is>
          <t>EP-QA</t>
        </is>
      </c>
      <c r="H201" s="3" t="n">
        <v>3</v>
      </c>
      <c r="I201" s="3" t="inlineStr">
        <is>
          <t>23/11/2026</t>
        </is>
      </c>
      <c r="J201" s="3" t="inlineStr">
        <is>
          <t>25/11/2026</t>
        </is>
      </c>
      <c r="K201" s="3" t="inlineStr">
        <is>
          <t>qa critical-path</t>
        </is>
      </c>
      <c r="L201" s="3" t="inlineStr">
        <is>
          <t>ANGI-212</t>
        </is>
      </c>
      <c r="M201" s="3" t="inlineStr">
        <is>
          <t>Có</t>
        </is>
      </c>
      <c r="N201" s="3" t="n">
        <v>0</v>
      </c>
      <c r="O201" s="3" t="inlineStr">
        <is>
          <t>Highest</t>
        </is>
      </c>
    </row>
    <row r="202">
      <c r="A202" s="3" t="inlineStr">
        <is>
          <t>T186</t>
        </is>
      </c>
      <c r="B202" s="3" t="inlineStr">
        <is>
          <t>Task</t>
        </is>
      </c>
      <c r="C202" s="3" t="inlineStr">
        <is>
          <t>Fix bug backend sau system test (auth, restaurant, roadmap)</t>
        </is>
      </c>
      <c r="D202" s="3" t="inlineStr">
        <is>
          <t>[CRITICAL PATH] Task này nằm trên đường găng: dự phòng tối đa 1 ngày. Phải xong đúng Due Date 03/12/2026; trễ 1 ngày thì mốc "Final Software Package" (06/12/2026) bị trễ theo.
Ảnh hưởng trực tiếp tới: Deploy bản cuối (Render + Vercel) và kiểm tra sau deploy.
Cần xong trước khi bắt đầu: Report 5: System Test Report (chạy system test).
Gặp vướng thì báo ngay trong ngày cho Dũng (PM), không đợi họp.
Fix bug backend sau system test (auth, restaurant, roadmap)</t>
        </is>
      </c>
      <c r="E202" s="3" t="inlineStr">
        <is>
          <t>Hưng</t>
        </is>
      </c>
      <c r="F202" s="3" t="inlineStr">
        <is>
          <t>ANGI Sprint 4</t>
        </is>
      </c>
      <c r="G202" s="3" t="inlineStr">
        <is>
          <t>EP-QA</t>
        </is>
      </c>
      <c r="H202" s="3" t="n">
        <v>3</v>
      </c>
      <c r="I202" s="3" t="inlineStr">
        <is>
          <t>26/11/2026</t>
        </is>
      </c>
      <c r="J202" s="3" t="inlineStr">
        <is>
          <t>03/12/2026</t>
        </is>
      </c>
      <c r="K202" s="3" t="inlineStr">
        <is>
          <t>bugfix critical-path</t>
        </is>
      </c>
      <c r="L202" s="3" t="inlineStr">
        <is>
          <t>ANGI-213</t>
        </is>
      </c>
      <c r="M202" s="3" t="inlineStr">
        <is>
          <t>Có</t>
        </is>
      </c>
      <c r="N202" s="3" t="n">
        <v>0</v>
      </c>
      <c r="O202" s="3" t="inlineStr">
        <is>
          <t>Highest</t>
        </is>
      </c>
    </row>
    <row r="203">
      <c r="A203" s="3" t="inlineStr">
        <is>
          <t>T187</t>
        </is>
      </c>
      <c r="B203" s="3" t="inlineStr">
        <is>
          <t>Task</t>
        </is>
      </c>
      <c r="C203" s="3" t="inlineStr">
        <is>
          <t>Fix bug backend sau system test (account, discovery, blog, moderation, admin)</t>
        </is>
      </c>
      <c r="D203" s="3" t="inlineStr">
        <is>
          <t>[CRITICAL PATH] Task này nằm trên đường găng: dự phòng tối đa 1 ngày. Phải xong đúng Due Date 03/12/2026; trễ 1 ngày thì mốc "Final Software Package" (06/12/2026) bị trễ theo.
Ảnh hưởng trực tiếp tới: Deploy bản cuối (Render + Vercel) và kiểm tra sau deploy.
Cần xong trước khi bắt đầu: Report 5: System Test Report (chạy system test).
Gặp vướng thì báo ngay trong ngày cho Dũng (PM), không đợi họp.
Fix bug backend sau system test (account, discovery, blog, moderation, admin)</t>
        </is>
      </c>
      <c r="E203" s="3" t="inlineStr">
        <is>
          <t>Trọng</t>
        </is>
      </c>
      <c r="F203" s="3" t="inlineStr">
        <is>
          <t>ANGI Sprint 4</t>
        </is>
      </c>
      <c r="G203" s="3" t="inlineStr">
        <is>
          <t>EP-QA</t>
        </is>
      </c>
      <c r="H203" s="3" t="n">
        <v>3</v>
      </c>
      <c r="I203" s="3" t="inlineStr">
        <is>
          <t>26/11/2026</t>
        </is>
      </c>
      <c r="J203" s="3" t="inlineStr">
        <is>
          <t>03/12/2026</t>
        </is>
      </c>
      <c r="K203" s="3" t="inlineStr">
        <is>
          <t>bugfix critical-path</t>
        </is>
      </c>
      <c r="L203" s="3" t="inlineStr">
        <is>
          <t>ANGI-214</t>
        </is>
      </c>
      <c r="M203" s="3" t="inlineStr">
        <is>
          <t>Có</t>
        </is>
      </c>
      <c r="N203" s="3" t="n">
        <v>0</v>
      </c>
      <c r="O203" s="3" t="inlineStr">
        <is>
          <t>Highest</t>
        </is>
      </c>
    </row>
    <row r="204">
      <c r="A204" s="3" t="inlineStr">
        <is>
          <t>T188</t>
        </is>
      </c>
      <c r="B204" s="3" t="inlineStr">
        <is>
          <t>Task</t>
        </is>
      </c>
      <c r="C204" s="3" t="inlineStr">
        <is>
          <t>Fix bug frontend sau system test (owner, roadmap, admin)</t>
        </is>
      </c>
      <c r="D204" s="3" t="inlineStr">
        <is>
          <t>[CRITICAL PATH] Task này nằm trên đường găng: dự phòng tối đa 1 ngày. Phải xong đúng Due Date 03/12/2026; trễ 1 ngày thì mốc "Final Software Package" (06/12/2026) bị trễ theo.
Ảnh hưởng trực tiếp tới: Deploy bản cuối (Render + Vercel) và kiểm tra sau deploy.
Cần xong trước khi bắt đầu: Report 5: System Test Report (chạy system test).
Gặp vướng thì báo ngay trong ngày cho Dũng (PM), không đợi họp.
Fix bug frontend sau system test (owner, roadmap, admin)</t>
        </is>
      </c>
      <c r="E204" s="3" t="inlineStr">
        <is>
          <t>Tuấn</t>
        </is>
      </c>
      <c r="F204" s="3" t="inlineStr">
        <is>
          <t>ANGI Sprint 4</t>
        </is>
      </c>
      <c r="G204" s="3" t="inlineStr">
        <is>
          <t>EP-QA</t>
        </is>
      </c>
      <c r="H204" s="3" t="n">
        <v>3</v>
      </c>
      <c r="I204" s="3" t="inlineStr">
        <is>
          <t>26/11/2026</t>
        </is>
      </c>
      <c r="J204" s="3" t="inlineStr">
        <is>
          <t>03/12/2026</t>
        </is>
      </c>
      <c r="K204" s="3" t="inlineStr">
        <is>
          <t>bugfix critical-path</t>
        </is>
      </c>
      <c r="L204" s="3" t="inlineStr">
        <is>
          <t>ANGI-215</t>
        </is>
      </c>
      <c r="M204" s="3" t="inlineStr">
        <is>
          <t>Có</t>
        </is>
      </c>
      <c r="N204" s="3" t="n">
        <v>0</v>
      </c>
      <c r="O204" s="3" t="inlineStr">
        <is>
          <t>Highest</t>
        </is>
      </c>
    </row>
    <row r="205">
      <c r="A205" s="3" t="inlineStr">
        <is>
          <t>T189</t>
        </is>
      </c>
      <c r="B205" s="3" t="inlineStr">
        <is>
          <t>Task</t>
        </is>
      </c>
      <c r="C205" s="3" t="inlineStr">
        <is>
          <t>Fix bug frontend sau system test (auth, discovery, blog, moderation)</t>
        </is>
      </c>
      <c r="D205" s="3" t="inlineStr">
        <is>
          <t>[CRITICAL PATH] Task này nằm trên đường găng: dự phòng tối đa 1 ngày. Phải xong đúng Due Date 03/12/2026; trễ 1 ngày thì mốc "Final Software Package" (06/12/2026) bị trễ theo.
Ảnh hưởng trực tiếp tới: Deploy bản cuối (Render + Vercel) và kiểm tra sau deploy.
Cần xong trước khi bắt đầu: Report 5: System Test Report (chạy system test).
Gặp vướng thì báo ngay trong ngày cho Dũng (PM), không đợi họp.
Fix bug frontend sau system test (auth, discovery, blog, moderation)</t>
        </is>
      </c>
      <c r="E205" s="3" t="inlineStr">
        <is>
          <t>Đức</t>
        </is>
      </c>
      <c r="F205" s="3" t="inlineStr">
        <is>
          <t>ANGI Sprint 4</t>
        </is>
      </c>
      <c r="G205" s="3" t="inlineStr">
        <is>
          <t>EP-QA</t>
        </is>
      </c>
      <c r="H205" s="3" t="n">
        <v>2</v>
      </c>
      <c r="I205" s="3" t="inlineStr">
        <is>
          <t>26/11/2026</t>
        </is>
      </c>
      <c r="J205" s="3" t="inlineStr">
        <is>
          <t>03/12/2026</t>
        </is>
      </c>
      <c r="K205" s="3" t="inlineStr">
        <is>
          <t>bugfix critical-path</t>
        </is>
      </c>
      <c r="L205" s="3" t="inlineStr">
        <is>
          <t>ANGI-216</t>
        </is>
      </c>
      <c r="M205" s="3" t="inlineStr">
        <is>
          <t>Có</t>
        </is>
      </c>
      <c r="N205" s="3" t="n">
        <v>0</v>
      </c>
      <c r="O205" s="3" t="inlineStr">
        <is>
          <t>Highest</t>
        </is>
      </c>
    </row>
    <row r="206">
      <c r="A206" s="3" t="inlineStr">
        <is>
          <t>T190</t>
        </is>
      </c>
      <c r="B206" s="3" t="inlineStr">
        <is>
          <t>Task</t>
        </is>
      </c>
      <c r="C206" s="3" t="inlineStr">
        <is>
          <t>Fix bug reco + hạ tầng sau system test</t>
        </is>
      </c>
      <c r="D206" s="3" t="inlineStr">
        <is>
          <t>[CRITICAL PATH] Task này nằm trên đường găng: dự phòng tối đa 1 ngày. Phải xong đúng Due Date 03/12/2026; trễ 1 ngày thì mốc "Final Software Package" (06/12/2026) bị trễ theo.
Ảnh hưởng trực tiếp tới: Deploy bản cuối (Render + Vercel) và kiểm tra sau deploy.
Cần xong trước khi bắt đầu: Report 5: System Test Report (chạy system test).
Gặp vướng thì báo ngay trong ngày cho Dũng (PM), không đợi họp.
Fix bug reco + hạ tầng sau system test</t>
        </is>
      </c>
      <c r="E206" s="3" t="inlineStr">
        <is>
          <t>Dũng</t>
        </is>
      </c>
      <c r="F206" s="3" t="inlineStr">
        <is>
          <t>ANGI Sprint 4</t>
        </is>
      </c>
      <c r="G206" s="3" t="inlineStr">
        <is>
          <t>EP-QA</t>
        </is>
      </c>
      <c r="H206" s="3" t="n">
        <v>2</v>
      </c>
      <c r="I206" s="3" t="inlineStr">
        <is>
          <t>26/11/2026</t>
        </is>
      </c>
      <c r="J206" s="3" t="inlineStr">
        <is>
          <t>03/12/2026</t>
        </is>
      </c>
      <c r="K206" s="3" t="inlineStr">
        <is>
          <t>bugfix critical-path</t>
        </is>
      </c>
      <c r="L206" s="3" t="inlineStr">
        <is>
          <t>ANGI-217</t>
        </is>
      </c>
      <c r="M206" s="3" t="inlineStr">
        <is>
          <t>Có</t>
        </is>
      </c>
      <c r="N206" s="3" t="n">
        <v>0</v>
      </c>
      <c r="O206" s="3" t="inlineStr">
        <is>
          <t>Highest</t>
        </is>
      </c>
    </row>
    <row r="207">
      <c r="A207" s="2" t="inlineStr">
        <is>
          <t>T185</t>
        </is>
      </c>
      <c r="B207" s="2" t="inlineStr">
        <is>
          <t>Task</t>
        </is>
      </c>
      <c r="C207" s="2" t="inlineStr">
        <is>
          <t>Acceptance Test Support (demo với GVHD, ghi nhận lỗi)</t>
        </is>
      </c>
      <c r="D207" s="2" t="inlineStr">
        <is>
          <t>Acceptance Test Support (demo với GVHD, ghi nhận lỗi)</t>
        </is>
      </c>
      <c r="E207" s="2" t="inlineStr">
        <is>
          <t>Tuấn</t>
        </is>
      </c>
      <c r="F207" s="2" t="inlineStr">
        <is>
          <t>ANGI Sprint 4</t>
        </is>
      </c>
      <c r="G207" s="2" t="inlineStr">
        <is>
          <t>EP-QA</t>
        </is>
      </c>
      <c r="H207" s="2" t="n">
        <v>2</v>
      </c>
      <c r="I207" s="2" t="inlineStr">
        <is>
          <t>30/11/2026</t>
        </is>
      </c>
      <c r="J207" s="2" t="inlineStr">
        <is>
          <t>01/12/2026</t>
        </is>
      </c>
      <c r="K207" s="2" t="inlineStr">
        <is>
          <t>qa</t>
        </is>
      </c>
      <c r="L207" s="2" t="inlineStr">
        <is>
          <t>ANGI-218</t>
        </is>
      </c>
      <c r="M207" s="2" t="inlineStr"/>
      <c r="N207" s="2" t="n">
        <v>12</v>
      </c>
      <c r="O207" s="2" t="inlineStr">
        <is>
          <t>Medium</t>
        </is>
      </c>
    </row>
    <row r="208">
      <c r="A208" s="2" t="inlineStr">
        <is>
          <t>T168</t>
        </is>
      </c>
      <c r="B208" s="2" t="inlineStr">
        <is>
          <t>Task</t>
        </is>
      </c>
      <c r="C208" s="2" t="inlineStr">
        <is>
          <t>Report 6: User Guides (Installation Guide, User Manual)</t>
        </is>
      </c>
      <c r="D208" s="2" t="inlineStr">
        <is>
          <t>Phần Installation Guide lấy từ README và cấu hình deploy của Dũng.</t>
        </is>
      </c>
      <c r="E208" s="2" t="inlineStr">
        <is>
          <t>Đức</t>
        </is>
      </c>
      <c r="F208" s="2" t="inlineStr">
        <is>
          <t>ANGI Sprint 4</t>
        </is>
      </c>
      <c r="G208" s="2" t="inlineStr">
        <is>
          <t>EP-DOC</t>
        </is>
      </c>
      <c r="H208" s="2" t="n">
        <v>3</v>
      </c>
      <c r="I208" s="2" t="inlineStr">
        <is>
          <t>01/12/2026</t>
        </is>
      </c>
      <c r="J208" s="2" t="inlineStr">
        <is>
          <t>03/12/2026</t>
        </is>
      </c>
      <c r="K208" s="2" t="inlineStr">
        <is>
          <t>docs</t>
        </is>
      </c>
      <c r="L208" s="2" t="inlineStr">
        <is>
          <t>ANGI-219</t>
        </is>
      </c>
      <c r="M208" s="2" t="inlineStr"/>
      <c r="N208" s="2" t="n">
        <v>2</v>
      </c>
      <c r="O208" s="2" t="inlineStr">
        <is>
          <t>Medium</t>
        </is>
      </c>
    </row>
    <row r="209">
      <c r="A209" s="3" t="inlineStr">
        <is>
          <t>T191</t>
        </is>
      </c>
      <c r="B209" s="3" t="inlineStr">
        <is>
          <t>Task</t>
        </is>
      </c>
      <c r="C209" s="3" t="inlineStr">
        <is>
          <t>Deploy bản cuối (Render + Vercel) và kiểm tra sau deploy</t>
        </is>
      </c>
      <c r="D209" s="3" t="inlineStr">
        <is>
          <t>[CRITICAL PATH] Task này nằm trên đường găng: dự phòng tối đa 1 ngày. Phải xong đúng Due Date 05/12/2026; trễ 1 ngày thì mốc "Final Software Package" (06/12/2026) bị trễ theo.
Ảnh hưởng trực tiếp tới: Final Software Package (docs, source code).
Cần xong trước khi bắt đầu: Fix bug backend sau system test (auth, restaurant, roadmap); Fix bug backend sau system test (account, discovery, blog, moderation, admin); Fix bug frontend sau system test (owner, roadmap, admin); Fix bug frontend sau system test (auth, discovery, blog, moderation); Fix bug reco + hạ tầng sau system test.
Gặp vướng thì báo ngay trong ngày cho Dũng (PM), không đợi họp.
Deploy bản của iteration từ dev sau khi fix bug, merge sang main lên Render (backend, reco, PostgreSQL) và Vercel (frontend); viết release note liệt kê feature đã xong và lỗi còn tồn.</t>
        </is>
      </c>
      <c r="E209" s="3" t="inlineStr">
        <is>
          <t>Dũng</t>
        </is>
      </c>
      <c r="F209" s="3" t="inlineStr">
        <is>
          <t>ANGI Sprint 4</t>
        </is>
      </c>
      <c r="G209" s="3" t="inlineStr">
        <is>
          <t>EP-QA</t>
        </is>
      </c>
      <c r="H209" s="3" t="n">
        <v>2</v>
      </c>
      <c r="I209" s="3" t="inlineStr">
        <is>
          <t>04/12/2026</t>
        </is>
      </c>
      <c r="J209" s="3" t="inlineStr">
        <is>
          <t>05/12/2026</t>
        </is>
      </c>
      <c r="K209" s="3" t="inlineStr">
        <is>
          <t>release critical-path</t>
        </is>
      </c>
      <c r="L209" s="3" t="inlineStr">
        <is>
          <t>ANGI-220</t>
        </is>
      </c>
      <c r="M209" s="3" t="inlineStr">
        <is>
          <t>Có</t>
        </is>
      </c>
      <c r="N209" s="3" t="n">
        <v>0</v>
      </c>
      <c r="O209" s="3" t="inlineStr">
        <is>
          <t>Highest</t>
        </is>
      </c>
    </row>
    <row r="210">
      <c r="A210" s="3" t="inlineStr">
        <is>
          <t>T192</t>
        </is>
      </c>
      <c r="B210" s="3" t="inlineStr">
        <is>
          <t>Task</t>
        </is>
      </c>
      <c r="C210" s="3" t="inlineStr">
        <is>
          <t>Final Software Package (docs, source code)</t>
        </is>
      </c>
      <c r="D210" s="3" t="inlineStr">
        <is>
          <t>[CRITICAL PATH] Task này nằm trên đường găng: dự phòng tối đa 1 ngày. Phải xong đúng Due Date 06/12/2026; trễ 1 ngày thì đây chính là mốc giao nộp.
Ảnh hưởng trực tiếp tới: Report 7: Final Project Report.
Cần xong trước khi bắt đầu: Deploy bản cuối (Render + Vercel) và kiểm tra sau deploy; Report 6: User Guides (Installation Guide, User Manual).
Gặp vướng thì báo ngay trong ngày cho Dũng (PM), không đợi họp.
Final Software Package (docs, source code)</t>
        </is>
      </c>
      <c r="E210" s="3" t="inlineStr">
        <is>
          <t>Tuấn</t>
        </is>
      </c>
      <c r="F210" s="3" t="inlineStr">
        <is>
          <t>ANGI Sprint 4</t>
        </is>
      </c>
      <c r="G210" s="3" t="inlineStr">
        <is>
          <t>EP-QA</t>
        </is>
      </c>
      <c r="H210" s="3" t="n">
        <v>2</v>
      </c>
      <c r="I210" s="3" t="inlineStr">
        <is>
          <t>06/12/2026</t>
        </is>
      </c>
      <c r="J210" s="3" t="inlineStr">
        <is>
          <t>06/12/2026</t>
        </is>
      </c>
      <c r="K210" s="3" t="inlineStr">
        <is>
          <t>release critical-path</t>
        </is>
      </c>
      <c r="L210" s="3" t="inlineStr">
        <is>
          <t>ANGI-221</t>
        </is>
      </c>
      <c r="M210" s="3" t="inlineStr">
        <is>
          <t>Có</t>
        </is>
      </c>
      <c r="N210" s="3" t="n">
        <v>0</v>
      </c>
      <c r="O210" s="3" t="inlineStr">
        <is>
          <t>Highest</t>
        </is>
      </c>
    </row>
    <row r="211">
      <c r="A211" s="3" t="inlineStr">
        <is>
          <t>T169</t>
        </is>
      </c>
      <c r="B211" s="3" t="inlineStr">
        <is>
          <t>Task</t>
        </is>
      </c>
      <c r="C211" s="3" t="inlineStr">
        <is>
          <t>Report 7: Final Project Report</t>
        </is>
      </c>
      <c r="D211" s="3" t="inlineStr">
        <is>
          <t>[CRITICAL PATH] Task này nằm trên đường găng: dự phòng tối đa 1 ngày. Phải xong đúng Due Date 11/12/2026; trễ 1 ngày thì mốc "Presentation File" (13/12/2026) bị trễ theo.
Ảnh hưởng trực tiếp tới: Presentation File (slide bảo vệ).
Cần xong trước khi bắt đầu: Final Software Package (docs, source code).
Gặp vướng thì báo ngay trong ngày cho Dũng (PM), không đợi họp.
Cả team cùng viết, mỗi người viết phần module/feature mình làm. Dũng tổng hợp và duyệt cuối.</t>
        </is>
      </c>
      <c r="E211" s="3" t="inlineStr">
        <is>
          <t>Dũng</t>
        </is>
      </c>
      <c r="F211" s="3" t="inlineStr">
        <is>
          <t>ANGI Sprint 5</t>
        </is>
      </c>
      <c r="G211" s="3" t="inlineStr">
        <is>
          <t>EP-DOC</t>
        </is>
      </c>
      <c r="H211" s="3" t="n">
        <v>5</v>
      </c>
      <c r="I211" s="3" t="inlineStr">
        <is>
          <t>07/12/2026</t>
        </is>
      </c>
      <c r="J211" s="3" t="inlineStr">
        <is>
          <t>11/12/2026</t>
        </is>
      </c>
      <c r="K211" s="3" t="inlineStr">
        <is>
          <t>docs critical-path</t>
        </is>
      </c>
      <c r="L211" s="3" t="inlineStr">
        <is>
          <t>ANGI-222</t>
        </is>
      </c>
      <c r="M211" s="3" t="inlineStr">
        <is>
          <t>Có</t>
        </is>
      </c>
      <c r="N211" s="3" t="n">
        <v>0</v>
      </c>
      <c r="O211" s="3" t="inlineStr">
        <is>
          <t>Highest</t>
        </is>
      </c>
    </row>
    <row r="212">
      <c r="A212" s="3" t="inlineStr">
        <is>
          <t>T170</t>
        </is>
      </c>
      <c r="B212" s="3" t="inlineStr">
        <is>
          <t>Task</t>
        </is>
      </c>
      <c r="C212" s="3" t="inlineStr">
        <is>
          <t>Presentation File (slide bảo vệ)</t>
        </is>
      </c>
      <c r="D212" s="3" t="inlineStr">
        <is>
          <t>[CRITICAL PATH] Task này nằm trên đường găng: dự phòng tối đa 1 ngày. Phải xong đúng Due Date 13/12/2026; trễ 1 ngày thì đây chính là mốc giao nộp.
Cần xong trước khi bắt đầu: Report 7: Final Project Report.
Gặp vướng thì báo ngay trong ngày cho Dũng (PM), không đợi họp.
Presentation File (slide bảo vệ)</t>
        </is>
      </c>
      <c r="E212" s="3" t="inlineStr">
        <is>
          <t>Dũng</t>
        </is>
      </c>
      <c r="F212" s="3" t="inlineStr">
        <is>
          <t>ANGI Sprint 5</t>
        </is>
      </c>
      <c r="G212" s="3" t="inlineStr">
        <is>
          <t>EP-DOC</t>
        </is>
      </c>
      <c r="H212" s="3" t="n">
        <v>2</v>
      </c>
      <c r="I212" s="3" t="inlineStr">
        <is>
          <t>12/12/2026</t>
        </is>
      </c>
      <c r="J212" s="3" t="inlineStr">
        <is>
          <t>13/12/2026</t>
        </is>
      </c>
      <c r="K212" s="3" t="inlineStr">
        <is>
          <t>docs critical-path</t>
        </is>
      </c>
      <c r="L212" s="3" t="inlineStr">
        <is>
          <t>ANGI-223</t>
        </is>
      </c>
      <c r="M212" s="3" t="inlineStr">
        <is>
          <t>Có</t>
        </is>
      </c>
      <c r="N212" s="3" t="n">
        <v>0</v>
      </c>
      <c r="O212" s="3" t="inlineStr">
        <is>
          <t>Highest</t>
        </is>
      </c>
    </row>
  </sheetData>
  <autoFilter ref="A1:O2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X212"/>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10" customWidth="1" min="3" max="3"/>
    <col width="11" customWidth="1" min="4" max="4"/>
    <col width="11" customWidth="1" min="5" max="5"/>
    <col width="7"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3" customWidth="1" min="21" max="21"/>
    <col width="3" customWidth="1" min="22" max="22"/>
    <col width="3" customWidth="1" min="23" max="23"/>
    <col width="3" customWidth="1" min="24" max="24"/>
    <col width="3" customWidth="1" min="25" max="25"/>
    <col width="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3" customWidth="1" min="38" max="38"/>
    <col width="3" customWidth="1" min="39" max="39"/>
    <col width="3" customWidth="1" min="40" max="40"/>
    <col width="3" customWidth="1" min="41" max="41"/>
    <col width="3" customWidth="1" min="42" max="42"/>
    <col width="3" customWidth="1" min="43" max="43"/>
    <col width="3" customWidth="1" min="44" max="44"/>
    <col width="3" customWidth="1" min="45" max="45"/>
    <col width="3" customWidth="1" min="46" max="46"/>
    <col width="3" customWidth="1" min="47" max="47"/>
    <col width="3" customWidth="1" min="48" max="48"/>
    <col width="3" customWidth="1" min="49" max="49"/>
    <col width="3" customWidth="1" min="50" max="50"/>
    <col width="3" customWidth="1" min="51" max="51"/>
    <col width="3" customWidth="1" min="52" max="52"/>
    <col width="3" customWidth="1" min="53" max="53"/>
    <col width="3" customWidth="1" min="54" max="54"/>
    <col width="3" customWidth="1" min="55" max="55"/>
    <col width="3" customWidth="1" min="56" max="56"/>
    <col width="3" customWidth="1" min="57" max="57"/>
    <col width="3" customWidth="1" min="58" max="58"/>
    <col width="3" customWidth="1" min="59" max="59"/>
    <col width="3" customWidth="1" min="60" max="60"/>
    <col width="3" customWidth="1" min="61" max="61"/>
    <col width="3" customWidth="1" min="62" max="62"/>
    <col width="3" customWidth="1" min="63" max="63"/>
    <col width="3" customWidth="1" min="64" max="64"/>
    <col width="3" customWidth="1" min="65" max="65"/>
    <col width="3" customWidth="1" min="66" max="66"/>
    <col width="3" customWidth="1" min="67" max="67"/>
    <col width="3" customWidth="1" min="68" max="68"/>
    <col width="3" customWidth="1" min="69" max="69"/>
    <col width="3" customWidth="1" min="70" max="70"/>
    <col width="3" customWidth="1" min="71" max="71"/>
    <col width="3" customWidth="1" min="72" max="72"/>
    <col width="3" customWidth="1" min="73" max="73"/>
    <col width="3" customWidth="1" min="74" max="74"/>
    <col width="3" customWidth="1" min="75" max="75"/>
    <col width="3" customWidth="1" min="76" max="76"/>
  </cols>
  <sheetData>
    <row r="1" ht="42" customHeight="1">
      <c r="A1" s="4" t="inlineStr">
        <is>
          <t>Jira key</t>
        </is>
      </c>
      <c r="B1" s="4" t="inlineStr">
        <is>
          <t>Task</t>
        </is>
      </c>
      <c r="C1" s="4" t="inlineStr">
        <is>
          <t>Assignee</t>
        </is>
      </c>
      <c r="D1" s="4" t="inlineStr">
        <is>
          <t>Start</t>
        </is>
      </c>
      <c r="E1" s="4" t="inlineStr">
        <is>
          <t>Due</t>
        </is>
      </c>
      <c r="F1" s="4" t="inlineStr">
        <is>
          <t>Float</t>
        </is>
      </c>
      <c r="G1" s="5" t="inlineStr">
        <is>
          <t>05/10</t>
        </is>
      </c>
      <c r="H1" s="5" t="inlineStr">
        <is>
          <t>06/10</t>
        </is>
      </c>
      <c r="I1" s="5" t="inlineStr">
        <is>
          <t>07/10</t>
        </is>
      </c>
      <c r="J1" s="5" t="inlineStr">
        <is>
          <t>08/10</t>
        </is>
      </c>
      <c r="K1" s="5" t="inlineStr">
        <is>
          <t>09/10</t>
        </is>
      </c>
      <c r="L1" s="5" t="inlineStr">
        <is>
          <t>10/10</t>
        </is>
      </c>
      <c r="M1" s="5" t="inlineStr">
        <is>
          <t>11/10</t>
        </is>
      </c>
      <c r="N1" s="5" t="inlineStr">
        <is>
          <t>12/10</t>
        </is>
      </c>
      <c r="O1" s="5" t="inlineStr">
        <is>
          <t>13/10</t>
        </is>
      </c>
      <c r="P1" s="5" t="inlineStr">
        <is>
          <t>14/10</t>
        </is>
      </c>
      <c r="Q1" s="5" t="inlineStr">
        <is>
          <t>15/10</t>
        </is>
      </c>
      <c r="R1" s="5" t="inlineStr">
        <is>
          <t>16/10</t>
        </is>
      </c>
      <c r="S1" s="5" t="inlineStr">
        <is>
          <t>17/10</t>
        </is>
      </c>
      <c r="T1" s="5" t="inlineStr">
        <is>
          <t>18/10</t>
        </is>
      </c>
      <c r="U1" s="5" t="inlineStr">
        <is>
          <t>19/10</t>
        </is>
      </c>
      <c r="V1" s="5" t="inlineStr">
        <is>
          <t>20/10</t>
        </is>
      </c>
      <c r="W1" s="5" t="inlineStr">
        <is>
          <t>21/10</t>
        </is>
      </c>
      <c r="X1" s="5" t="inlineStr">
        <is>
          <t>22/10</t>
        </is>
      </c>
      <c r="Y1" s="5" t="inlineStr">
        <is>
          <t>23/10</t>
        </is>
      </c>
      <c r="Z1" s="5" t="inlineStr">
        <is>
          <t>24/10</t>
        </is>
      </c>
      <c r="AA1" s="5" t="inlineStr">
        <is>
          <t>25/10</t>
        </is>
      </c>
      <c r="AB1" s="5" t="inlineStr">
        <is>
          <t>26/10</t>
        </is>
      </c>
      <c r="AC1" s="5" t="inlineStr">
        <is>
          <t>27/10</t>
        </is>
      </c>
      <c r="AD1" s="5" t="inlineStr">
        <is>
          <t>28/10</t>
        </is>
      </c>
      <c r="AE1" s="5" t="inlineStr">
        <is>
          <t>29/10</t>
        </is>
      </c>
      <c r="AF1" s="5" t="inlineStr">
        <is>
          <t>30/10</t>
        </is>
      </c>
      <c r="AG1" s="5" t="inlineStr">
        <is>
          <t>31/10</t>
        </is>
      </c>
      <c r="AH1" s="5" t="inlineStr">
        <is>
          <t>01/11</t>
        </is>
      </c>
      <c r="AI1" s="5" t="inlineStr">
        <is>
          <t>02/11</t>
        </is>
      </c>
      <c r="AJ1" s="5" t="inlineStr">
        <is>
          <t>03/11</t>
        </is>
      </c>
      <c r="AK1" s="5" t="inlineStr">
        <is>
          <t>04/11</t>
        </is>
      </c>
      <c r="AL1" s="5" t="inlineStr">
        <is>
          <t>05/11</t>
        </is>
      </c>
      <c r="AM1" s="5" t="inlineStr">
        <is>
          <t>06/11</t>
        </is>
      </c>
      <c r="AN1" s="5" t="inlineStr">
        <is>
          <t>07/11</t>
        </is>
      </c>
      <c r="AO1" s="5" t="inlineStr">
        <is>
          <t>08/11</t>
        </is>
      </c>
      <c r="AP1" s="5" t="inlineStr">
        <is>
          <t>09/11</t>
        </is>
      </c>
      <c r="AQ1" s="5" t="inlineStr">
        <is>
          <t>10/11</t>
        </is>
      </c>
      <c r="AR1" s="5" t="inlineStr">
        <is>
          <t>11/11</t>
        </is>
      </c>
      <c r="AS1" s="5" t="inlineStr">
        <is>
          <t>12/11</t>
        </is>
      </c>
      <c r="AT1" s="5" t="inlineStr">
        <is>
          <t>13/11</t>
        </is>
      </c>
      <c r="AU1" s="5" t="inlineStr">
        <is>
          <t>14/11</t>
        </is>
      </c>
      <c r="AV1" s="5" t="inlineStr">
        <is>
          <t>15/11</t>
        </is>
      </c>
      <c r="AW1" s="5" t="inlineStr">
        <is>
          <t>16/11</t>
        </is>
      </c>
      <c r="AX1" s="5" t="inlineStr">
        <is>
          <t>17/11</t>
        </is>
      </c>
      <c r="AY1" s="5" t="inlineStr">
        <is>
          <t>18/11</t>
        </is>
      </c>
      <c r="AZ1" s="5" t="inlineStr">
        <is>
          <t>19/11</t>
        </is>
      </c>
      <c r="BA1" s="5" t="inlineStr">
        <is>
          <t>20/11</t>
        </is>
      </c>
      <c r="BB1" s="5" t="inlineStr">
        <is>
          <t>21/11</t>
        </is>
      </c>
      <c r="BC1" s="5" t="inlineStr">
        <is>
          <t>22/11</t>
        </is>
      </c>
      <c r="BD1" s="5" t="inlineStr">
        <is>
          <t>23/11</t>
        </is>
      </c>
      <c r="BE1" s="5" t="inlineStr">
        <is>
          <t>24/11</t>
        </is>
      </c>
      <c r="BF1" s="5" t="inlineStr">
        <is>
          <t>25/11</t>
        </is>
      </c>
      <c r="BG1" s="5" t="inlineStr">
        <is>
          <t>26/11</t>
        </is>
      </c>
      <c r="BH1" s="5" t="inlineStr">
        <is>
          <t>27/11</t>
        </is>
      </c>
      <c r="BI1" s="5" t="inlineStr">
        <is>
          <t>28/11</t>
        </is>
      </c>
      <c r="BJ1" s="5" t="inlineStr">
        <is>
          <t>29/11</t>
        </is>
      </c>
      <c r="BK1" s="5" t="inlineStr">
        <is>
          <t>30/11</t>
        </is>
      </c>
      <c r="BL1" s="5" t="inlineStr">
        <is>
          <t>01/12</t>
        </is>
      </c>
      <c r="BM1" s="5" t="inlineStr">
        <is>
          <t>02/12</t>
        </is>
      </c>
      <c r="BN1" s="5" t="inlineStr">
        <is>
          <t>03/12</t>
        </is>
      </c>
      <c r="BO1" s="5" t="inlineStr">
        <is>
          <t>04/12</t>
        </is>
      </c>
      <c r="BP1" s="5" t="inlineStr">
        <is>
          <t>05/12</t>
        </is>
      </c>
      <c r="BQ1" s="5" t="inlineStr">
        <is>
          <t>06/12</t>
        </is>
      </c>
      <c r="BR1" s="5" t="inlineStr">
        <is>
          <t>07/12</t>
        </is>
      </c>
      <c r="BS1" s="5" t="inlineStr">
        <is>
          <t>08/12</t>
        </is>
      </c>
      <c r="BT1" s="5" t="inlineStr">
        <is>
          <t>09/12</t>
        </is>
      </c>
      <c r="BU1" s="5" t="inlineStr">
        <is>
          <t>10/12</t>
        </is>
      </c>
      <c r="BV1" s="5" t="inlineStr">
        <is>
          <t>11/12</t>
        </is>
      </c>
      <c r="BW1" s="5" t="inlineStr">
        <is>
          <t>12/12</t>
        </is>
      </c>
      <c r="BX1" s="5" t="inlineStr">
        <is>
          <t>13/12</t>
        </is>
      </c>
    </row>
    <row r="2">
      <c r="A2" t="inlineStr">
        <is>
          <t>ANGI-14</t>
        </is>
      </c>
      <c r="B2" t="inlineStr">
        <is>
          <t>Tạo GitHub repo (backend, frontend, reco), branch strategy, PR template, rule review</t>
        </is>
      </c>
      <c r="C2" t="inlineStr">
        <is>
          <t>Dũng</t>
        </is>
      </c>
      <c r="D2" t="inlineStr">
        <is>
          <t>05/10/2026</t>
        </is>
      </c>
      <c r="E2" t="inlineStr">
        <is>
          <t>05/10/2026</t>
        </is>
      </c>
      <c r="F2" t="n">
        <v>8.300000000000001</v>
      </c>
      <c r="G2" s="6" t="n"/>
      <c r="L2" s="7" t="n"/>
      <c r="M2" s="7" t="n"/>
      <c r="S2" s="7" t="n"/>
      <c r="T2" s="7" t="n"/>
      <c r="Z2" s="7" t="n"/>
      <c r="AA2" s="7" t="n"/>
      <c r="AG2" s="7" t="n"/>
      <c r="AH2" s="7" t="n"/>
      <c r="AN2" s="7" t="n"/>
      <c r="AO2" s="7" t="n"/>
      <c r="AU2" s="7" t="n"/>
      <c r="AV2" s="7" t="n"/>
      <c r="BB2" s="7" t="n"/>
      <c r="BC2" s="7" t="n"/>
      <c r="BI2" s="7" t="n"/>
      <c r="BJ2" s="7" t="n"/>
      <c r="BP2" s="7" t="n"/>
      <c r="BQ2" s="7" t="n"/>
      <c r="BW2" s="7" t="n"/>
      <c r="BX2" s="7" t="n"/>
    </row>
    <row r="3">
      <c r="A3" t="inlineStr">
        <is>
          <t>ANGI-15</t>
        </is>
      </c>
      <c r="B3" t="inlineStr">
        <is>
          <t>Report 4: SDS v1.0 (High Level Design)</t>
        </is>
      </c>
      <c r="C3" t="inlineStr">
        <is>
          <t>Dũng</t>
        </is>
      </c>
      <c r="D3" t="inlineStr">
        <is>
          <t>05/10/2026</t>
        </is>
      </c>
      <c r="E3" t="inlineStr">
        <is>
          <t>05/10/2026</t>
        </is>
      </c>
      <c r="F3" t="n">
        <v>69</v>
      </c>
      <c r="G3" s="6" t="n"/>
      <c r="L3" s="7" t="n"/>
      <c r="M3" s="7" t="n"/>
      <c r="S3" s="7" t="n"/>
      <c r="T3" s="7" t="n"/>
      <c r="Z3" s="7" t="n"/>
      <c r="AA3" s="7" t="n"/>
      <c r="AG3" s="7" t="n"/>
      <c r="AH3" s="7" t="n"/>
      <c r="AN3" s="7" t="n"/>
      <c r="AO3" s="7" t="n"/>
      <c r="AU3" s="7" t="n"/>
      <c r="AV3" s="7" t="n"/>
      <c r="BB3" s="7" t="n"/>
      <c r="BC3" s="7" t="n"/>
      <c r="BI3" s="7" t="n"/>
      <c r="BJ3" s="7" t="n"/>
      <c r="BP3" s="7" t="n"/>
      <c r="BQ3" s="7" t="n"/>
      <c r="BW3" s="7" t="n"/>
      <c r="BX3" s="7" t="n"/>
    </row>
    <row r="4">
      <c r="A4" t="inlineStr">
        <is>
          <t>ANGI-16</t>
        </is>
      </c>
      <c r="B4" t="inlineStr">
        <is>
          <t>Docker Compose môi trường dev: PostgreSQL 16 + pgvector</t>
        </is>
      </c>
      <c r="C4" t="inlineStr">
        <is>
          <t>Dũng</t>
        </is>
      </c>
      <c r="D4" t="inlineStr">
        <is>
          <t>05/10/2026</t>
        </is>
      </c>
      <c r="E4" t="inlineStr">
        <is>
          <t>06/10/2026</t>
        </is>
      </c>
      <c r="F4" t="n">
        <v>8.5</v>
      </c>
      <c r="G4" s="6" t="n"/>
      <c r="H4" s="6" t="n"/>
      <c r="L4" s="7" t="n"/>
      <c r="M4" s="7" t="n"/>
      <c r="S4" s="7" t="n"/>
      <c r="T4" s="7" t="n"/>
      <c r="Z4" s="7" t="n"/>
      <c r="AA4" s="7" t="n"/>
      <c r="AG4" s="7" t="n"/>
      <c r="AH4" s="7" t="n"/>
      <c r="AN4" s="7" t="n"/>
      <c r="AO4" s="7" t="n"/>
      <c r="AU4" s="7" t="n"/>
      <c r="AV4" s="7" t="n"/>
      <c r="BB4" s="7" t="n"/>
      <c r="BC4" s="7" t="n"/>
      <c r="BI4" s="7" t="n"/>
      <c r="BJ4" s="7" t="n"/>
      <c r="BP4" s="7" t="n"/>
      <c r="BQ4" s="7" t="n"/>
      <c r="BW4" s="7" t="n"/>
      <c r="BX4" s="7" t="n"/>
    </row>
    <row r="5">
      <c r="A5" t="inlineStr">
        <is>
          <t>ANGI-17</t>
        </is>
      </c>
      <c r="B5" t="inlineStr">
        <is>
          <t>Shared service: upload ảnh/tài liệu (Cloudinary)</t>
        </is>
      </c>
      <c r="C5" t="inlineStr">
        <is>
          <t>Hưng</t>
        </is>
      </c>
      <c r="D5" t="inlineStr">
        <is>
          <t>05/10/2026</t>
        </is>
      </c>
      <c r="E5" t="inlineStr">
        <is>
          <t>07/10/2026</t>
        </is>
      </c>
      <c r="F5" t="n">
        <v>11.5</v>
      </c>
      <c r="G5" s="6" t="n"/>
      <c r="H5" s="6" t="n"/>
      <c r="I5" s="6" t="n"/>
      <c r="L5" s="7" t="n"/>
      <c r="M5" s="7" t="n"/>
      <c r="S5" s="7" t="n"/>
      <c r="T5" s="7" t="n"/>
      <c r="Z5" s="7" t="n"/>
      <c r="AA5" s="7" t="n"/>
      <c r="AG5" s="7" t="n"/>
      <c r="AH5" s="7" t="n"/>
      <c r="AN5" s="7" t="n"/>
      <c r="AO5" s="7" t="n"/>
      <c r="AU5" s="7" t="n"/>
      <c r="AV5" s="7" t="n"/>
      <c r="BB5" s="7" t="n"/>
      <c r="BC5" s="7" t="n"/>
      <c r="BI5" s="7" t="n"/>
      <c r="BJ5" s="7" t="n"/>
      <c r="BP5" s="7" t="n"/>
      <c r="BQ5" s="7" t="n"/>
      <c r="BW5" s="7" t="n"/>
      <c r="BX5" s="7" t="n"/>
    </row>
    <row r="6">
      <c r="A6" t="inlineStr">
        <is>
          <t>ANGI-18</t>
        </is>
      </c>
      <c r="B6" t="inlineStr">
        <is>
          <t>Shared service: gửi email (Brevo) + template xác minh / reset mật khẩu</t>
        </is>
      </c>
      <c r="C6" t="inlineStr">
        <is>
          <t>Trọng</t>
        </is>
      </c>
      <c r="D6" t="inlineStr">
        <is>
          <t>05/10/2026</t>
        </is>
      </c>
      <c r="E6" t="inlineStr">
        <is>
          <t>08/10/2026</t>
        </is>
      </c>
      <c r="F6" t="n">
        <v>10.8</v>
      </c>
      <c r="G6" s="6" t="n"/>
      <c r="H6" s="6" t="n"/>
      <c r="I6" s="6" t="n"/>
      <c r="J6" s="6" t="n"/>
      <c r="L6" s="7" t="n"/>
      <c r="M6" s="7" t="n"/>
      <c r="S6" s="7" t="n"/>
      <c r="T6" s="7" t="n"/>
      <c r="Z6" s="7" t="n"/>
      <c r="AA6" s="7" t="n"/>
      <c r="AG6" s="7" t="n"/>
      <c r="AH6" s="7" t="n"/>
      <c r="AN6" s="7" t="n"/>
      <c r="AO6" s="7" t="n"/>
      <c r="AU6" s="7" t="n"/>
      <c r="AV6" s="7" t="n"/>
      <c r="BB6" s="7" t="n"/>
      <c r="BC6" s="7" t="n"/>
      <c r="BI6" s="7" t="n"/>
      <c r="BJ6" s="7" t="n"/>
      <c r="BP6" s="7" t="n"/>
      <c r="BQ6" s="7" t="n"/>
      <c r="BW6" s="7" t="n"/>
      <c r="BX6" s="7" t="n"/>
    </row>
    <row r="7">
      <c r="A7" t="inlineStr">
        <is>
          <t>ANGI-19</t>
        </is>
      </c>
      <c r="B7" t="inlineStr">
        <is>
          <t>Khung Next.js: layout, routing theo role, API client, auth guard, UI kit</t>
        </is>
      </c>
      <c r="C7" t="inlineStr">
        <is>
          <t>Tuấn</t>
        </is>
      </c>
      <c r="D7" t="inlineStr">
        <is>
          <t>05/10/2026</t>
        </is>
      </c>
      <c r="E7" t="inlineStr">
        <is>
          <t>11/10/2026</t>
        </is>
      </c>
      <c r="F7" t="n">
        <v>8.1</v>
      </c>
      <c r="G7" s="6" t="n"/>
      <c r="H7" s="6" t="n"/>
      <c r="I7" s="6" t="n"/>
      <c r="J7" s="6" t="n"/>
      <c r="K7" s="6" t="n"/>
      <c r="L7" s="6" t="n"/>
      <c r="M7" s="6" t="n"/>
      <c r="S7" s="7" t="n"/>
      <c r="T7" s="7" t="n"/>
      <c r="Z7" s="7" t="n"/>
      <c r="AA7" s="7" t="n"/>
      <c r="AG7" s="7" t="n"/>
      <c r="AH7" s="7" t="n"/>
      <c r="AN7" s="7" t="n"/>
      <c r="AO7" s="7" t="n"/>
      <c r="AU7" s="7" t="n"/>
      <c r="AV7" s="7" t="n"/>
      <c r="BB7" s="7" t="n"/>
      <c r="BC7" s="7" t="n"/>
      <c r="BI7" s="7" t="n"/>
      <c r="BJ7" s="7" t="n"/>
      <c r="BP7" s="7" t="n"/>
      <c r="BQ7" s="7" t="n"/>
      <c r="BW7" s="7" t="n"/>
      <c r="BX7" s="7" t="n"/>
    </row>
    <row r="8">
      <c r="A8" t="inlineStr">
        <is>
          <t>ANGI-20</t>
        </is>
      </c>
      <c r="B8" t="inlineStr">
        <is>
          <t>Wireframe/mockup các màn hình Iteration 1</t>
        </is>
      </c>
      <c r="C8" t="inlineStr">
        <is>
          <t>Đức</t>
        </is>
      </c>
      <c r="D8" t="inlineStr">
        <is>
          <t>05/10/2026</t>
        </is>
      </c>
      <c r="E8" t="inlineStr">
        <is>
          <t>11/10/2026</t>
        </is>
      </c>
      <c r="F8" t="n">
        <v>8.1</v>
      </c>
      <c r="G8" s="6" t="n"/>
      <c r="H8" s="6" t="n"/>
      <c r="I8" s="6" t="n"/>
      <c r="J8" s="6" t="n"/>
      <c r="K8" s="6" t="n"/>
      <c r="L8" s="6" t="n"/>
      <c r="M8" s="6" t="n"/>
      <c r="S8" s="7" t="n"/>
      <c r="T8" s="7" t="n"/>
      <c r="Z8" s="7" t="n"/>
      <c r="AA8" s="7" t="n"/>
      <c r="AG8" s="7" t="n"/>
      <c r="AH8" s="7" t="n"/>
      <c r="AN8" s="7" t="n"/>
      <c r="AO8" s="7" t="n"/>
      <c r="AU8" s="7" t="n"/>
      <c r="AV8" s="7" t="n"/>
      <c r="BB8" s="7" t="n"/>
      <c r="BC8" s="7" t="n"/>
      <c r="BI8" s="7" t="n"/>
      <c r="BJ8" s="7" t="n"/>
      <c r="BP8" s="7" t="n"/>
      <c r="BQ8" s="7" t="n"/>
      <c r="BW8" s="7" t="n"/>
      <c r="BX8" s="7" t="n"/>
    </row>
    <row r="9">
      <c r="A9" t="inlineStr">
        <is>
          <t>ANGI-21</t>
        </is>
      </c>
      <c r="B9" t="inlineStr">
        <is>
          <t>Database: ANGIContext schema core, base class, initial migration</t>
        </is>
      </c>
      <c r="C9" t="inlineStr">
        <is>
          <t>Dũng</t>
        </is>
      </c>
      <c r="D9" t="inlineStr">
        <is>
          <t>06/10/2026</t>
        </is>
      </c>
      <c r="E9" t="inlineStr">
        <is>
          <t>08/10/2026</t>
        </is>
      </c>
      <c r="F9" t="n">
        <v>8.5</v>
      </c>
      <c r="H9" s="6" t="n"/>
      <c r="I9" s="6" t="n"/>
      <c r="J9" s="6" t="n"/>
      <c r="L9" s="7" t="n"/>
      <c r="M9" s="7" t="n"/>
      <c r="S9" s="7" t="n"/>
      <c r="T9" s="7" t="n"/>
      <c r="Z9" s="7" t="n"/>
      <c r="AA9" s="7" t="n"/>
      <c r="AG9" s="7" t="n"/>
      <c r="AH9" s="7" t="n"/>
      <c r="AN9" s="7" t="n"/>
      <c r="AO9" s="7" t="n"/>
      <c r="AU9" s="7" t="n"/>
      <c r="AV9" s="7" t="n"/>
      <c r="BB9" s="7" t="n"/>
      <c r="BC9" s="7" t="n"/>
      <c r="BI9" s="7" t="n"/>
      <c r="BJ9" s="7" t="n"/>
      <c r="BP9" s="7" t="n"/>
      <c r="BQ9" s="7" t="n"/>
      <c r="BW9" s="7" t="n"/>
      <c r="BX9" s="7" t="n"/>
    </row>
    <row r="10">
      <c r="A10" t="inlineStr">
        <is>
          <t>ANGI-22</t>
        </is>
      </c>
      <c r="B10" t="inlineStr">
        <is>
          <t>Report 5: Test Planning</t>
        </is>
      </c>
      <c r="C10" t="inlineStr">
        <is>
          <t>Đức</t>
        </is>
      </c>
      <c r="D10" t="inlineStr">
        <is>
          <t>07/10/2026</t>
        </is>
      </c>
      <c r="E10" t="inlineStr">
        <is>
          <t>08/10/2026</t>
        </is>
      </c>
      <c r="F10" t="n">
        <v>66</v>
      </c>
      <c r="I10" s="6" t="n"/>
      <c r="J10" s="6" t="n"/>
      <c r="L10" s="7" t="n"/>
      <c r="M10" s="7" t="n"/>
      <c r="S10" s="7" t="n"/>
      <c r="T10" s="7" t="n"/>
      <c r="Z10" s="7" t="n"/>
      <c r="AA10" s="7" t="n"/>
      <c r="AG10" s="7" t="n"/>
      <c r="AH10" s="7" t="n"/>
      <c r="AN10" s="7" t="n"/>
      <c r="AO10" s="7" t="n"/>
      <c r="AU10" s="7" t="n"/>
      <c r="AV10" s="7" t="n"/>
      <c r="BB10" s="7" t="n"/>
      <c r="BC10" s="7" t="n"/>
      <c r="BI10" s="7" t="n"/>
      <c r="BJ10" s="7" t="n"/>
      <c r="BP10" s="7" t="n"/>
      <c r="BQ10" s="7" t="n"/>
      <c r="BW10" s="7" t="n"/>
      <c r="BX10" s="7" t="n"/>
    </row>
    <row r="11">
      <c r="A11" t="inlineStr">
        <is>
          <t>ANGI-23</t>
        </is>
      </c>
      <c r="B11" t="inlineStr">
        <is>
          <t>Backend: ExceptionHandlingMiddleware, cấu hình JWT, CORS, rate limit</t>
        </is>
      </c>
      <c r="C11" t="inlineStr">
        <is>
          <t>Hưng</t>
        </is>
      </c>
      <c r="D11" t="inlineStr">
        <is>
          <t>07/10/2026</t>
        </is>
      </c>
      <c r="E11" t="inlineStr">
        <is>
          <t>11/10/2026</t>
        </is>
      </c>
      <c r="F11" t="n">
        <v>6.4</v>
      </c>
      <c r="I11" s="6" t="n"/>
      <c r="J11" s="6" t="n"/>
      <c r="K11" s="6" t="n"/>
      <c r="L11" s="6" t="n"/>
      <c r="M11" s="6" t="n"/>
      <c r="S11" s="7" t="n"/>
      <c r="T11" s="7" t="n"/>
      <c r="Z11" s="7" t="n"/>
      <c r="AA11" s="7" t="n"/>
      <c r="AG11" s="7" t="n"/>
      <c r="AH11" s="7" t="n"/>
      <c r="AN11" s="7" t="n"/>
      <c r="AO11" s="7" t="n"/>
      <c r="AU11" s="7" t="n"/>
      <c r="AV11" s="7" t="n"/>
      <c r="BB11" s="7" t="n"/>
      <c r="BC11" s="7" t="n"/>
      <c r="BI11" s="7" t="n"/>
      <c r="BJ11" s="7" t="n"/>
      <c r="BP11" s="7" t="n"/>
      <c r="BQ11" s="7" t="n"/>
      <c r="BW11" s="7" t="n"/>
      <c r="BX11" s="7" t="n"/>
    </row>
    <row r="12">
      <c r="A12" t="inlineStr">
        <is>
          <t>ANGI-24</t>
        </is>
      </c>
      <c r="B12" t="inlineStr">
        <is>
          <t>CI GitHub Actions: build + unit test cho .NET, FastAPI, Next.js</t>
        </is>
      </c>
      <c r="C12" t="inlineStr">
        <is>
          <t>Dũng</t>
        </is>
      </c>
      <c r="D12" t="inlineStr">
        <is>
          <t>08/10/2026</t>
        </is>
      </c>
      <c r="E12" t="inlineStr">
        <is>
          <t>09/10/2026</t>
        </is>
      </c>
      <c r="F12" t="n">
        <v>65.8</v>
      </c>
      <c r="J12" s="6" t="n"/>
      <c r="K12" s="6" t="n"/>
      <c r="L12" s="7" t="n"/>
      <c r="M12" s="7" t="n"/>
      <c r="S12" s="7" t="n"/>
      <c r="T12" s="7" t="n"/>
      <c r="Z12" s="7" t="n"/>
      <c r="AA12" s="7" t="n"/>
      <c r="AG12" s="7" t="n"/>
      <c r="AH12" s="7" t="n"/>
      <c r="AN12" s="7" t="n"/>
      <c r="AO12" s="7" t="n"/>
      <c r="AU12" s="7" t="n"/>
      <c r="AV12" s="7" t="n"/>
      <c r="BB12" s="7" t="n"/>
      <c r="BC12" s="7" t="n"/>
      <c r="BI12" s="7" t="n"/>
      <c r="BJ12" s="7" t="n"/>
      <c r="BP12" s="7" t="n"/>
      <c r="BQ12" s="7" t="n"/>
      <c r="BW12" s="7" t="n"/>
      <c r="BX12" s="7" t="n"/>
    </row>
    <row r="13">
      <c r="A13" t="inlineStr">
        <is>
          <t>ANGI-25</t>
        </is>
      </c>
      <c r="B13" t="inlineStr">
        <is>
          <t>Ghi audit log cho thao tác quan trọng</t>
        </is>
      </c>
      <c r="C13" t="inlineStr">
        <is>
          <t>Trọng</t>
        </is>
      </c>
      <c r="D13" t="inlineStr">
        <is>
          <t>08/10/2026</t>
        </is>
      </c>
      <c r="E13" t="inlineStr">
        <is>
          <t>11/10/2026</t>
        </is>
      </c>
      <c r="F13" t="n">
        <v>63</v>
      </c>
      <c r="J13" s="6" t="n"/>
      <c r="K13" s="6" t="n"/>
      <c r="L13" s="6" t="n"/>
      <c r="M13" s="6" t="n"/>
      <c r="S13" s="7" t="n"/>
      <c r="T13" s="7" t="n"/>
      <c r="Z13" s="7" t="n"/>
      <c r="AA13" s="7" t="n"/>
      <c r="AG13" s="7" t="n"/>
      <c r="AH13" s="7" t="n"/>
      <c r="AN13" s="7" t="n"/>
      <c r="AO13" s="7" t="n"/>
      <c r="AU13" s="7" t="n"/>
      <c r="AV13" s="7" t="n"/>
      <c r="BB13" s="7" t="n"/>
      <c r="BC13" s="7" t="n"/>
      <c r="BI13" s="7" t="n"/>
      <c r="BJ13" s="7" t="n"/>
      <c r="BP13" s="7" t="n"/>
      <c r="BQ13" s="7" t="n"/>
      <c r="BW13" s="7" t="n"/>
      <c r="BX13" s="7" t="n"/>
    </row>
    <row r="14">
      <c r="A14" t="inlineStr">
        <is>
          <t>ANGI-26</t>
        </is>
      </c>
      <c r="B14" t="inlineStr">
        <is>
          <t>Seed data: nhà hàng đã verify, món, user test cho mọi role</t>
        </is>
      </c>
      <c r="C14" t="inlineStr">
        <is>
          <t>Dũng</t>
        </is>
      </c>
      <c r="D14" t="inlineStr">
        <is>
          <t>09/10/2026</t>
        </is>
      </c>
      <c r="E14" t="inlineStr">
        <is>
          <t>10/10/2026</t>
        </is>
      </c>
      <c r="F14" t="n">
        <v>7.4</v>
      </c>
      <c r="K14" s="6" t="n"/>
      <c r="L14" s="6" t="n"/>
      <c r="M14" s="7" t="n"/>
      <c r="S14" s="7" t="n"/>
      <c r="T14" s="7" t="n"/>
      <c r="Z14" s="7" t="n"/>
      <c r="AA14" s="7" t="n"/>
      <c r="AG14" s="7" t="n"/>
      <c r="AH14" s="7" t="n"/>
      <c r="AN14" s="7" t="n"/>
      <c r="AO14" s="7" t="n"/>
      <c r="AU14" s="7" t="n"/>
      <c r="AV14" s="7" t="n"/>
      <c r="BB14" s="7" t="n"/>
      <c r="BC14" s="7" t="n"/>
      <c r="BI14" s="7" t="n"/>
      <c r="BJ14" s="7" t="n"/>
      <c r="BP14" s="7" t="n"/>
      <c r="BQ14" s="7" t="n"/>
      <c r="BW14" s="7" t="n"/>
      <c r="BX14" s="7" t="n"/>
    </row>
    <row r="15">
      <c r="A15" t="inlineStr">
        <is>
          <t>ANGI-27</t>
        </is>
      </c>
      <c r="B15" t="inlineStr">
        <is>
          <t>Report 3: SRS v1.0 (Detailed Requirements Iteration 1)</t>
        </is>
      </c>
      <c r="C15" t="inlineStr">
        <is>
          <t>Dũng</t>
        </is>
      </c>
      <c r="D15" t="inlineStr">
        <is>
          <t>09/10/2026</t>
        </is>
      </c>
      <c r="E15" t="inlineStr">
        <is>
          <t>11/10/2026</t>
        </is>
      </c>
      <c r="F15" t="n">
        <v>63</v>
      </c>
      <c r="K15" s="6" t="n"/>
      <c r="L15" s="6" t="n"/>
      <c r="M15" s="6" t="n"/>
      <c r="S15" s="7" t="n"/>
      <c r="T15" s="7" t="n"/>
      <c r="Z15" s="7" t="n"/>
      <c r="AA15" s="7" t="n"/>
      <c r="AG15" s="7" t="n"/>
      <c r="AH15" s="7" t="n"/>
      <c r="AN15" s="7" t="n"/>
      <c r="AO15" s="7" t="n"/>
      <c r="AU15" s="7" t="n"/>
      <c r="AV15" s="7" t="n"/>
      <c r="BB15" s="7" t="n"/>
      <c r="BC15" s="7" t="n"/>
      <c r="BI15" s="7" t="n"/>
      <c r="BJ15" s="7" t="n"/>
      <c r="BP15" s="7" t="n"/>
      <c r="BQ15" s="7" t="n"/>
      <c r="BW15" s="7" t="n"/>
      <c r="BX15" s="7" t="n"/>
    </row>
    <row r="16">
      <c r="A16" t="inlineStr">
        <is>
          <t>ANGI-28</t>
        </is>
      </c>
      <c r="B16" t="inlineStr">
        <is>
          <t>Khung FastAPI reco service: kết nối schema recommendation, migration, X-Api-Key, /health</t>
        </is>
      </c>
      <c r="C16" t="inlineStr">
        <is>
          <t>Dũng</t>
        </is>
      </c>
      <c r="D16" t="inlineStr">
        <is>
          <t>10/10/2026</t>
        </is>
      </c>
      <c r="E16" t="inlineStr">
        <is>
          <t>11/10/2026</t>
        </is>
      </c>
      <c r="F16" t="n">
        <v>3.1</v>
      </c>
      <c r="L16" s="6" t="n"/>
      <c r="M16" s="6" t="n"/>
      <c r="S16" s="7" t="n"/>
      <c r="T16" s="7" t="n"/>
      <c r="Z16" s="7" t="n"/>
      <c r="AA16" s="7" t="n"/>
      <c r="AG16" s="7" t="n"/>
      <c r="AH16" s="7" t="n"/>
      <c r="AN16" s="7" t="n"/>
      <c r="AO16" s="7" t="n"/>
      <c r="AU16" s="7" t="n"/>
      <c r="AV16" s="7" t="n"/>
      <c r="BB16" s="7" t="n"/>
      <c r="BC16" s="7" t="n"/>
      <c r="BI16" s="7" t="n"/>
      <c r="BJ16" s="7" t="n"/>
      <c r="BP16" s="7" t="n"/>
      <c r="BQ16" s="7" t="n"/>
      <c r="BW16" s="7" t="n"/>
      <c r="BX16" s="7" t="n"/>
    </row>
    <row r="17">
      <c r="A17" t="inlineStr">
        <is>
          <t>ANGI-29</t>
        </is>
      </c>
      <c r="B17" t="inlineStr">
        <is>
          <t>[BE] F-01 Register Account</t>
        </is>
      </c>
      <c r="C17" t="inlineStr">
        <is>
          <t>Hưng</t>
        </is>
      </c>
      <c r="D17" t="inlineStr">
        <is>
          <t>12/10/2026</t>
        </is>
      </c>
      <c r="E17" t="inlineStr">
        <is>
          <t>12/10/2026</t>
        </is>
      </c>
      <c r="F17" t="n">
        <v>7.3</v>
      </c>
      <c r="L17" s="7" t="n"/>
      <c r="M17" s="7" t="n"/>
      <c r="N17" s="6" t="n"/>
      <c r="S17" s="7" t="n"/>
      <c r="T17" s="7" t="n"/>
      <c r="Z17" s="7" t="n"/>
      <c r="AA17" s="7" t="n"/>
      <c r="AG17" s="7" t="n"/>
      <c r="AH17" s="7" t="n"/>
      <c r="AN17" s="7" t="n"/>
      <c r="AO17" s="7" t="n"/>
      <c r="AU17" s="7" t="n"/>
      <c r="AV17" s="7" t="n"/>
      <c r="BB17" s="7" t="n"/>
      <c r="BC17" s="7" t="n"/>
      <c r="BI17" s="7" t="n"/>
      <c r="BJ17" s="7" t="n"/>
      <c r="BP17" s="7" t="n"/>
      <c r="BQ17" s="7" t="n"/>
      <c r="BW17" s="7" t="n"/>
      <c r="BX17" s="7" t="n"/>
    </row>
    <row r="18">
      <c r="A18" t="inlineStr">
        <is>
          <t>ANGI-30</t>
        </is>
      </c>
      <c r="B18" t="inlineStr">
        <is>
          <t>[FE] F-01 Register Account</t>
        </is>
      </c>
      <c r="C18" t="inlineStr">
        <is>
          <t>Đức</t>
        </is>
      </c>
      <c r="D18" t="inlineStr">
        <is>
          <t>12/10/2026</t>
        </is>
      </c>
      <c r="E18" t="inlineStr">
        <is>
          <t>12/10/2026</t>
        </is>
      </c>
      <c r="F18" t="n">
        <v>9.4</v>
      </c>
      <c r="L18" s="7" t="n"/>
      <c r="M18" s="7" t="n"/>
      <c r="N18" s="6" t="n"/>
      <c r="S18" s="7" t="n"/>
      <c r="T18" s="7" t="n"/>
      <c r="Z18" s="7" t="n"/>
      <c r="AA18" s="7" t="n"/>
      <c r="AG18" s="7" t="n"/>
      <c r="AH18" s="7" t="n"/>
      <c r="AN18" s="7" t="n"/>
      <c r="AO18" s="7" t="n"/>
      <c r="AU18" s="7" t="n"/>
      <c r="AV18" s="7" t="n"/>
      <c r="BB18" s="7" t="n"/>
      <c r="BC18" s="7" t="n"/>
      <c r="BI18" s="7" t="n"/>
      <c r="BJ18" s="7" t="n"/>
      <c r="BP18" s="7" t="n"/>
      <c r="BQ18" s="7" t="n"/>
      <c r="BW18" s="7" t="n"/>
      <c r="BX18" s="7" t="n"/>
    </row>
    <row r="19">
      <c r="A19" t="inlineStr">
        <is>
          <t>ANGI-31</t>
        </is>
      </c>
      <c r="B19" t="inlineStr">
        <is>
          <t>[BE] F-15 Browse Restaurant</t>
        </is>
      </c>
      <c r="C19" t="inlineStr">
        <is>
          <t>Trọng</t>
        </is>
      </c>
      <c r="D19" t="inlineStr">
        <is>
          <t>12/10/2026</t>
        </is>
      </c>
      <c r="E19" t="inlineStr">
        <is>
          <t>12/10/2026</t>
        </is>
      </c>
      <c r="F19" t="n">
        <v>7.2</v>
      </c>
      <c r="L19" s="7" t="n"/>
      <c r="M19" s="7" t="n"/>
      <c r="N19" s="6" t="n"/>
      <c r="S19" s="7" t="n"/>
      <c r="T19" s="7" t="n"/>
      <c r="Z19" s="7" t="n"/>
      <c r="AA19" s="7" t="n"/>
      <c r="AG19" s="7" t="n"/>
      <c r="AH19" s="7" t="n"/>
      <c r="AN19" s="7" t="n"/>
      <c r="AO19" s="7" t="n"/>
      <c r="AU19" s="7" t="n"/>
      <c r="AV19" s="7" t="n"/>
      <c r="BB19" s="7" t="n"/>
      <c r="BC19" s="7" t="n"/>
      <c r="BI19" s="7" t="n"/>
      <c r="BJ19" s="7" t="n"/>
      <c r="BP19" s="7" t="n"/>
      <c r="BQ19" s="7" t="n"/>
      <c r="BW19" s="7" t="n"/>
      <c r="BX19" s="7" t="n"/>
    </row>
    <row r="20">
      <c r="A20" t="inlineStr">
        <is>
          <t>ANGI-32</t>
        </is>
      </c>
      <c r="B20" t="inlineStr">
        <is>
          <t>Reco client trong backend .NET (IRecommendationService)</t>
        </is>
      </c>
      <c r="C20" t="inlineStr">
        <is>
          <t>Dũng</t>
        </is>
      </c>
      <c r="D20" t="inlineStr">
        <is>
          <t>12/10/2026</t>
        </is>
      </c>
      <c r="E20" t="inlineStr">
        <is>
          <t>12/10/2026</t>
        </is>
      </c>
      <c r="F20" t="n">
        <v>5.7</v>
      </c>
      <c r="L20" s="7" t="n"/>
      <c r="M20" s="7" t="n"/>
      <c r="N20" s="6" t="n"/>
      <c r="S20" s="7" t="n"/>
      <c r="T20" s="7" t="n"/>
      <c r="Z20" s="7" t="n"/>
      <c r="AA20" s="7" t="n"/>
      <c r="AG20" s="7" t="n"/>
      <c r="AH20" s="7" t="n"/>
      <c r="AN20" s="7" t="n"/>
      <c r="AO20" s="7" t="n"/>
      <c r="AU20" s="7" t="n"/>
      <c r="AV20" s="7" t="n"/>
      <c r="BB20" s="7" t="n"/>
      <c r="BC20" s="7" t="n"/>
      <c r="BI20" s="7" t="n"/>
      <c r="BJ20" s="7" t="n"/>
      <c r="BP20" s="7" t="n"/>
      <c r="BQ20" s="7" t="n"/>
      <c r="BW20" s="7" t="n"/>
      <c r="BX20" s="7" t="n"/>
    </row>
    <row r="21">
      <c r="A21" t="inlineStr">
        <is>
          <t>ANGI-33</t>
        </is>
      </c>
      <c r="B21" t="inlineStr">
        <is>
          <t>[BE] F-03 Login</t>
        </is>
      </c>
      <c r="C21" t="inlineStr">
        <is>
          <t>Hưng</t>
        </is>
      </c>
      <c r="D21" t="inlineStr">
        <is>
          <t>12/10/2026</t>
        </is>
      </c>
      <c r="E21" t="inlineStr">
        <is>
          <t>13/10/2026</t>
        </is>
      </c>
      <c r="F21" t="n">
        <v>6.1</v>
      </c>
      <c r="L21" s="7" t="n"/>
      <c r="M21" s="7" t="n"/>
      <c r="N21" s="6" t="n"/>
      <c r="O21" s="6" t="n"/>
      <c r="S21" s="7" t="n"/>
      <c r="T21" s="7" t="n"/>
      <c r="Z21" s="7" t="n"/>
      <c r="AA21" s="7" t="n"/>
      <c r="AG21" s="7" t="n"/>
      <c r="AH21" s="7" t="n"/>
      <c r="AN21" s="7" t="n"/>
      <c r="AO21" s="7" t="n"/>
      <c r="AU21" s="7" t="n"/>
      <c r="AV21" s="7" t="n"/>
      <c r="BB21" s="7" t="n"/>
      <c r="BC21" s="7" t="n"/>
      <c r="BI21" s="7" t="n"/>
      <c r="BJ21" s="7" t="n"/>
      <c r="BP21" s="7" t="n"/>
      <c r="BQ21" s="7" t="n"/>
      <c r="BW21" s="7" t="n"/>
      <c r="BX21" s="7" t="n"/>
    </row>
    <row r="22">
      <c r="A22" t="inlineStr">
        <is>
          <t>ANGI-34</t>
        </is>
      </c>
      <c r="B22" t="inlineStr">
        <is>
          <t>[FE] F-03 Login</t>
        </is>
      </c>
      <c r="C22" t="inlineStr">
        <is>
          <t>Đức</t>
        </is>
      </c>
      <c r="D22" t="inlineStr">
        <is>
          <t>12/10/2026</t>
        </is>
      </c>
      <c r="E22" t="inlineStr">
        <is>
          <t>13/10/2026</t>
        </is>
      </c>
      <c r="F22" t="n">
        <v>8.699999999999999</v>
      </c>
      <c r="L22" s="7" t="n"/>
      <c r="M22" s="7" t="n"/>
      <c r="N22" s="6" t="n"/>
      <c r="O22" s="6" t="n"/>
      <c r="S22" s="7" t="n"/>
      <c r="T22" s="7" t="n"/>
      <c r="Z22" s="7" t="n"/>
      <c r="AA22" s="7" t="n"/>
      <c r="AG22" s="7" t="n"/>
      <c r="AH22" s="7" t="n"/>
      <c r="AN22" s="7" t="n"/>
      <c r="AO22" s="7" t="n"/>
      <c r="AU22" s="7" t="n"/>
      <c r="AV22" s="7" t="n"/>
      <c r="BB22" s="7" t="n"/>
      <c r="BC22" s="7" t="n"/>
      <c r="BI22" s="7" t="n"/>
      <c r="BJ22" s="7" t="n"/>
      <c r="BP22" s="7" t="n"/>
      <c r="BQ22" s="7" t="n"/>
      <c r="BW22" s="7" t="n"/>
      <c r="BX22" s="7" t="n"/>
    </row>
    <row r="23">
      <c r="A23" t="inlineStr">
        <is>
          <t>ANGI-35</t>
        </is>
      </c>
      <c r="B23" t="inlineStr">
        <is>
          <t>[BE] F-16 View Restaurant Detail</t>
        </is>
      </c>
      <c r="C23" t="inlineStr">
        <is>
          <t>Trọng</t>
        </is>
      </c>
      <c r="D23" t="inlineStr">
        <is>
          <t>12/10/2026</t>
        </is>
      </c>
      <c r="E23" t="inlineStr">
        <is>
          <t>13/10/2026</t>
        </is>
      </c>
      <c r="F23" t="n">
        <v>6.7</v>
      </c>
      <c r="L23" s="7" t="n"/>
      <c r="M23" s="7" t="n"/>
      <c r="N23" s="6" t="n"/>
      <c r="O23" s="6" t="n"/>
      <c r="S23" s="7" t="n"/>
      <c r="T23" s="7" t="n"/>
      <c r="Z23" s="7" t="n"/>
      <c r="AA23" s="7" t="n"/>
      <c r="AG23" s="7" t="n"/>
      <c r="AH23" s="7" t="n"/>
      <c r="AN23" s="7" t="n"/>
      <c r="AO23" s="7" t="n"/>
      <c r="AU23" s="7" t="n"/>
      <c r="AV23" s="7" t="n"/>
      <c r="BB23" s="7" t="n"/>
      <c r="BC23" s="7" t="n"/>
      <c r="BI23" s="7" t="n"/>
      <c r="BJ23" s="7" t="n"/>
      <c r="BP23" s="7" t="n"/>
      <c r="BQ23" s="7" t="n"/>
      <c r="BW23" s="7" t="n"/>
      <c r="BX23" s="7" t="n"/>
    </row>
    <row r="24">
      <c r="A24" t="inlineStr">
        <is>
          <t>ANGI-36</t>
        </is>
      </c>
      <c r="B24" t="inlineStr">
        <is>
          <t>[FE] F-43 Register Restaurant</t>
        </is>
      </c>
      <c r="C24" t="inlineStr">
        <is>
          <t>Tuấn</t>
        </is>
      </c>
      <c r="D24" t="inlineStr">
        <is>
          <t>12/10/2026</t>
        </is>
      </c>
      <c r="E24" t="inlineStr">
        <is>
          <t>13/10/2026</t>
        </is>
      </c>
      <c r="F24" t="n">
        <v>8.9</v>
      </c>
      <c r="L24" s="7" t="n"/>
      <c r="M24" s="7" t="n"/>
      <c r="N24" s="6" t="n"/>
      <c r="O24" s="6" t="n"/>
      <c r="S24" s="7" t="n"/>
      <c r="T24" s="7" t="n"/>
      <c r="Z24" s="7" t="n"/>
      <c r="AA24" s="7" t="n"/>
      <c r="AG24" s="7" t="n"/>
      <c r="AH24" s="7" t="n"/>
      <c r="AN24" s="7" t="n"/>
      <c r="AO24" s="7" t="n"/>
      <c r="AU24" s="7" t="n"/>
      <c r="AV24" s="7" t="n"/>
      <c r="BB24" s="7" t="n"/>
      <c r="BC24" s="7" t="n"/>
      <c r="BI24" s="7" t="n"/>
      <c r="BJ24" s="7" t="n"/>
      <c r="BP24" s="7" t="n"/>
      <c r="BQ24" s="7" t="n"/>
      <c r="BW24" s="7" t="n"/>
      <c r="BX24" s="7" t="n"/>
    </row>
    <row r="25">
      <c r="A25" t="inlineStr">
        <is>
          <t>ANGI-37</t>
        </is>
      </c>
      <c r="B25" t="inlineStr">
        <is>
          <t>Reco P1: Chuẩn hóa dữ liệu + ontology 12 chiều</t>
        </is>
      </c>
      <c r="C25" t="inlineStr">
        <is>
          <t>Dũng</t>
        </is>
      </c>
      <c r="D25" t="inlineStr">
        <is>
          <t>12/10/2026</t>
        </is>
      </c>
      <c r="E25" t="inlineStr">
        <is>
          <t>13/10/2026</t>
        </is>
      </c>
      <c r="F25" t="n">
        <v>2.4</v>
      </c>
      <c r="L25" s="7" t="n"/>
      <c r="M25" s="7" t="n"/>
      <c r="N25" s="6" t="n"/>
      <c r="O25" s="6" t="n"/>
      <c r="S25" s="7" t="n"/>
      <c r="T25" s="7" t="n"/>
      <c r="Z25" s="7" t="n"/>
      <c r="AA25" s="7" t="n"/>
      <c r="AG25" s="7" t="n"/>
      <c r="AH25" s="7" t="n"/>
      <c r="AN25" s="7" t="n"/>
      <c r="AO25" s="7" t="n"/>
      <c r="AU25" s="7" t="n"/>
      <c r="AV25" s="7" t="n"/>
      <c r="BB25" s="7" t="n"/>
      <c r="BC25" s="7" t="n"/>
      <c r="BI25" s="7" t="n"/>
      <c r="BJ25" s="7" t="n"/>
      <c r="BP25" s="7" t="n"/>
      <c r="BQ25" s="7" t="n"/>
      <c r="BW25" s="7" t="n"/>
      <c r="BX25" s="7" t="n"/>
    </row>
    <row r="26">
      <c r="A26" t="inlineStr">
        <is>
          <t>ANGI-38</t>
        </is>
      </c>
      <c r="B26" t="inlineStr">
        <is>
          <t>[BE] F-07 Manage Personal Profile</t>
        </is>
      </c>
      <c r="C26" t="inlineStr">
        <is>
          <t>Trọng</t>
        </is>
      </c>
      <c r="D26" t="inlineStr">
        <is>
          <t>13/10/2026</t>
        </is>
      </c>
      <c r="E26" t="inlineStr">
        <is>
          <t>13/10/2026</t>
        </is>
      </c>
      <c r="F26" t="n">
        <v>6.1</v>
      </c>
      <c r="L26" s="7" t="n"/>
      <c r="M26" s="7" t="n"/>
      <c r="O26" s="6" t="n"/>
      <c r="S26" s="7" t="n"/>
      <c r="T26" s="7" t="n"/>
      <c r="Z26" s="7" t="n"/>
      <c r="AA26" s="7" t="n"/>
      <c r="AG26" s="7" t="n"/>
      <c r="AH26" s="7" t="n"/>
      <c r="AN26" s="7" t="n"/>
      <c r="AO26" s="7" t="n"/>
      <c r="AU26" s="7" t="n"/>
      <c r="AV26" s="7" t="n"/>
      <c r="BB26" s="7" t="n"/>
      <c r="BC26" s="7" t="n"/>
      <c r="BI26" s="7" t="n"/>
      <c r="BJ26" s="7" t="n"/>
      <c r="BP26" s="7" t="n"/>
      <c r="BQ26" s="7" t="n"/>
      <c r="BW26" s="7" t="n"/>
      <c r="BX26" s="7" t="n"/>
    </row>
    <row r="27">
      <c r="A27" t="inlineStr">
        <is>
          <t>ANGI-39</t>
        </is>
      </c>
      <c r="B27" t="inlineStr">
        <is>
          <t>[BE] F-43 Register Restaurant</t>
        </is>
      </c>
      <c r="C27" t="inlineStr">
        <is>
          <t>Hưng</t>
        </is>
      </c>
      <c r="D27" t="inlineStr">
        <is>
          <t>13/10/2026</t>
        </is>
      </c>
      <c r="E27" t="inlineStr">
        <is>
          <t>13/10/2026</t>
        </is>
      </c>
      <c r="F27" t="n">
        <v>6</v>
      </c>
      <c r="L27" s="7" t="n"/>
      <c r="M27" s="7" t="n"/>
      <c r="O27" s="6" t="n"/>
      <c r="S27" s="7" t="n"/>
      <c r="T27" s="7" t="n"/>
      <c r="Z27" s="7" t="n"/>
      <c r="AA27" s="7" t="n"/>
      <c r="AG27" s="7" t="n"/>
      <c r="AH27" s="7" t="n"/>
      <c r="AN27" s="7" t="n"/>
      <c r="AO27" s="7" t="n"/>
      <c r="AU27" s="7" t="n"/>
      <c r="AV27" s="7" t="n"/>
      <c r="BB27" s="7" t="n"/>
      <c r="BC27" s="7" t="n"/>
      <c r="BI27" s="7" t="n"/>
      <c r="BJ27" s="7" t="n"/>
      <c r="BP27" s="7" t="n"/>
      <c r="BQ27" s="7" t="n"/>
      <c r="BW27" s="7" t="n"/>
      <c r="BX27" s="7" t="n"/>
    </row>
    <row r="28">
      <c r="A28" t="inlineStr">
        <is>
          <t>ANGI-40</t>
        </is>
      </c>
      <c r="B28" t="inlineStr">
        <is>
          <t>[BE] F-08 Change Password</t>
        </is>
      </c>
      <c r="C28" t="inlineStr">
        <is>
          <t>Trọng</t>
        </is>
      </c>
      <c r="D28" t="inlineStr">
        <is>
          <t>13/10/2026</t>
        </is>
      </c>
      <c r="E28" t="inlineStr">
        <is>
          <t>14/10/2026</t>
        </is>
      </c>
      <c r="F28" t="n">
        <v>5.8</v>
      </c>
      <c r="L28" s="7" t="n"/>
      <c r="M28" s="7" t="n"/>
      <c r="O28" s="6" t="n"/>
      <c r="P28" s="6" t="n"/>
      <c r="S28" s="7" t="n"/>
      <c r="T28" s="7" t="n"/>
      <c r="Z28" s="7" t="n"/>
      <c r="AA28" s="7" t="n"/>
      <c r="AG28" s="7" t="n"/>
      <c r="AH28" s="7" t="n"/>
      <c r="AN28" s="7" t="n"/>
      <c r="AO28" s="7" t="n"/>
      <c r="AU28" s="7" t="n"/>
      <c r="AV28" s="7" t="n"/>
      <c r="BB28" s="7" t="n"/>
      <c r="BC28" s="7" t="n"/>
      <c r="BI28" s="7" t="n"/>
      <c r="BJ28" s="7" t="n"/>
      <c r="BP28" s="7" t="n"/>
      <c r="BQ28" s="7" t="n"/>
      <c r="BW28" s="7" t="n"/>
      <c r="BX28" s="7" t="n"/>
    </row>
    <row r="29">
      <c r="A29" t="inlineStr">
        <is>
          <t>ANGI-41</t>
        </is>
      </c>
      <c r="B29" t="inlineStr">
        <is>
          <t>[FE] F-15 Browse Restaurant</t>
        </is>
      </c>
      <c r="C29" t="inlineStr">
        <is>
          <t>Đức</t>
        </is>
      </c>
      <c r="D29" t="inlineStr">
        <is>
          <t>13/10/2026</t>
        </is>
      </c>
      <c r="E29" t="inlineStr">
        <is>
          <t>14/10/2026</t>
        </is>
      </c>
      <c r="F29" t="n">
        <v>7.8</v>
      </c>
      <c r="L29" s="7" t="n"/>
      <c r="M29" s="7" t="n"/>
      <c r="O29" s="6" t="n"/>
      <c r="P29" s="6" t="n"/>
      <c r="S29" s="7" t="n"/>
      <c r="T29" s="7" t="n"/>
      <c r="Z29" s="7" t="n"/>
      <c r="AA29" s="7" t="n"/>
      <c r="AG29" s="7" t="n"/>
      <c r="AH29" s="7" t="n"/>
      <c r="AN29" s="7" t="n"/>
      <c r="AO29" s="7" t="n"/>
      <c r="AU29" s="7" t="n"/>
      <c r="AV29" s="7" t="n"/>
      <c r="BB29" s="7" t="n"/>
      <c r="BC29" s="7" t="n"/>
      <c r="BI29" s="7" t="n"/>
      <c r="BJ29" s="7" t="n"/>
      <c r="BP29" s="7" t="n"/>
      <c r="BQ29" s="7" t="n"/>
      <c r="BW29" s="7" t="n"/>
      <c r="BX29" s="7" t="n"/>
    </row>
    <row r="30">
      <c r="A30" t="inlineStr">
        <is>
          <t>ANGI-42</t>
        </is>
      </c>
      <c r="B30" t="inlineStr">
        <is>
          <t>[BE] F-44 Manage Restaurant Profile</t>
        </is>
      </c>
      <c r="C30" t="inlineStr">
        <is>
          <t>Hưng</t>
        </is>
      </c>
      <c r="D30" t="inlineStr">
        <is>
          <t>13/10/2026</t>
        </is>
      </c>
      <c r="E30" t="inlineStr">
        <is>
          <t>14/10/2026</t>
        </is>
      </c>
      <c r="F30" t="n">
        <v>5.4</v>
      </c>
      <c r="L30" s="7" t="n"/>
      <c r="M30" s="7" t="n"/>
      <c r="O30" s="6" t="n"/>
      <c r="P30" s="6" t="n"/>
      <c r="S30" s="7" t="n"/>
      <c r="T30" s="7" t="n"/>
      <c r="Z30" s="7" t="n"/>
      <c r="AA30" s="7" t="n"/>
      <c r="AG30" s="7" t="n"/>
      <c r="AH30" s="7" t="n"/>
      <c r="AN30" s="7" t="n"/>
      <c r="AO30" s="7" t="n"/>
      <c r="AU30" s="7" t="n"/>
      <c r="AV30" s="7" t="n"/>
      <c r="BB30" s="7" t="n"/>
      <c r="BC30" s="7" t="n"/>
      <c r="BI30" s="7" t="n"/>
      <c r="BJ30" s="7" t="n"/>
      <c r="BP30" s="7" t="n"/>
      <c r="BQ30" s="7" t="n"/>
      <c r="BW30" s="7" t="n"/>
      <c r="BX30" s="7" t="n"/>
    </row>
    <row r="31">
      <c r="A31" t="inlineStr">
        <is>
          <t>ANGI-43</t>
        </is>
      </c>
      <c r="B31" t="inlineStr">
        <is>
          <t>[FE] F-44 Manage Restaurant Profile</t>
        </is>
      </c>
      <c r="C31" t="inlineStr">
        <is>
          <t>Tuấn</t>
        </is>
      </c>
      <c r="D31" t="inlineStr">
        <is>
          <t>13/10/2026</t>
        </is>
      </c>
      <c r="E31" t="inlineStr">
        <is>
          <t>14/10/2026</t>
        </is>
      </c>
      <c r="F31" t="n">
        <v>7.8</v>
      </c>
      <c r="L31" s="7" t="n"/>
      <c r="M31" s="7" t="n"/>
      <c r="O31" s="6" t="n"/>
      <c r="P31" s="6" t="n"/>
      <c r="S31" s="7" t="n"/>
      <c r="T31" s="7" t="n"/>
      <c r="Z31" s="7" t="n"/>
      <c r="AA31" s="7" t="n"/>
      <c r="AG31" s="7" t="n"/>
      <c r="AH31" s="7" t="n"/>
      <c r="AN31" s="7" t="n"/>
      <c r="AO31" s="7" t="n"/>
      <c r="AU31" s="7" t="n"/>
      <c r="AV31" s="7" t="n"/>
      <c r="BB31" s="7" t="n"/>
      <c r="BC31" s="7" t="n"/>
      <c r="BI31" s="7" t="n"/>
      <c r="BJ31" s="7" t="n"/>
      <c r="BP31" s="7" t="n"/>
      <c r="BQ31" s="7" t="n"/>
      <c r="BW31" s="7" t="n"/>
      <c r="BX31" s="7" t="n"/>
    </row>
    <row r="32">
      <c r="A32" t="inlineStr">
        <is>
          <t>ANGI-44</t>
        </is>
      </c>
      <c r="B32" t="inlineStr">
        <is>
          <t>Reco P1: User vector từ khảo sát (RECO-03, RECO-09)</t>
        </is>
      </c>
      <c r="C32" t="inlineStr">
        <is>
          <t>Dũng</t>
        </is>
      </c>
      <c r="D32" t="inlineStr">
        <is>
          <t>13/10/2026</t>
        </is>
      </c>
      <c r="E32" t="inlineStr">
        <is>
          <t>14/10/2026</t>
        </is>
      </c>
      <c r="F32" t="n">
        <v>2.4</v>
      </c>
      <c r="L32" s="7" t="n"/>
      <c r="M32" s="7" t="n"/>
      <c r="O32" s="6" t="n"/>
      <c r="P32" s="6" t="n"/>
      <c r="S32" s="7" t="n"/>
      <c r="T32" s="7" t="n"/>
      <c r="Z32" s="7" t="n"/>
      <c r="AA32" s="7" t="n"/>
      <c r="AG32" s="7" t="n"/>
      <c r="AH32" s="7" t="n"/>
      <c r="AN32" s="7" t="n"/>
      <c r="AO32" s="7" t="n"/>
      <c r="AU32" s="7" t="n"/>
      <c r="AV32" s="7" t="n"/>
      <c r="BB32" s="7" t="n"/>
      <c r="BC32" s="7" t="n"/>
      <c r="BI32" s="7" t="n"/>
      <c r="BJ32" s="7" t="n"/>
      <c r="BP32" s="7" t="n"/>
      <c r="BQ32" s="7" t="n"/>
      <c r="BW32" s="7" t="n"/>
      <c r="BX32" s="7" t="n"/>
    </row>
    <row r="33">
      <c r="A33" t="inlineStr">
        <is>
          <t>ANGI-45</t>
        </is>
      </c>
      <c r="B33" t="inlineStr">
        <is>
          <t>Report 4: SDS v1.1</t>
        </is>
      </c>
      <c r="C33" t="inlineStr">
        <is>
          <t>Dũng</t>
        </is>
      </c>
      <c r="D33" t="inlineStr">
        <is>
          <t>13/10/2026</t>
        </is>
      </c>
      <c r="E33" t="inlineStr">
        <is>
          <t>14/10/2026</t>
        </is>
      </c>
      <c r="F33" t="n">
        <v>60</v>
      </c>
      <c r="L33" s="7" t="n"/>
      <c r="M33" s="7" t="n"/>
      <c r="O33" s="6" t="n"/>
      <c r="P33" s="6" t="n"/>
      <c r="S33" s="7" t="n"/>
      <c r="T33" s="7" t="n"/>
      <c r="Z33" s="7" t="n"/>
      <c r="AA33" s="7" t="n"/>
      <c r="AG33" s="7" t="n"/>
      <c r="AH33" s="7" t="n"/>
      <c r="AN33" s="7" t="n"/>
      <c r="AO33" s="7" t="n"/>
      <c r="AU33" s="7" t="n"/>
      <c r="AV33" s="7" t="n"/>
      <c r="BB33" s="7" t="n"/>
      <c r="BC33" s="7" t="n"/>
      <c r="BI33" s="7" t="n"/>
      <c r="BJ33" s="7" t="n"/>
      <c r="BP33" s="7" t="n"/>
      <c r="BQ33" s="7" t="n"/>
      <c r="BW33" s="7" t="n"/>
      <c r="BX33" s="7" t="n"/>
    </row>
    <row r="34">
      <c r="A34" t="inlineStr">
        <is>
          <t>ANGI-46</t>
        </is>
      </c>
      <c r="B34" t="inlineStr">
        <is>
          <t>[FE] F-16 View Restaurant Detail</t>
        </is>
      </c>
      <c r="C34" t="inlineStr">
        <is>
          <t>Đức</t>
        </is>
      </c>
      <c r="D34" t="inlineStr">
        <is>
          <t>14/10/2026</t>
        </is>
      </c>
      <c r="E34" t="inlineStr">
        <is>
          <t>14/10/2026</t>
        </is>
      </c>
      <c r="F34" t="n">
        <v>7.1</v>
      </c>
      <c r="L34" s="7" t="n"/>
      <c r="M34" s="7" t="n"/>
      <c r="P34" s="6" t="n"/>
      <c r="S34" s="7" t="n"/>
      <c r="T34" s="7" t="n"/>
      <c r="Z34" s="7" t="n"/>
      <c r="AA34" s="7" t="n"/>
      <c r="AG34" s="7" t="n"/>
      <c r="AH34" s="7" t="n"/>
      <c r="AN34" s="7" t="n"/>
      <c r="AO34" s="7" t="n"/>
      <c r="AU34" s="7" t="n"/>
      <c r="AV34" s="7" t="n"/>
      <c r="BB34" s="7" t="n"/>
      <c r="BC34" s="7" t="n"/>
      <c r="BI34" s="7" t="n"/>
      <c r="BJ34" s="7" t="n"/>
      <c r="BP34" s="7" t="n"/>
      <c r="BQ34" s="7" t="n"/>
      <c r="BW34" s="7" t="n"/>
      <c r="BX34" s="7" t="n"/>
    </row>
    <row r="35">
      <c r="A35" t="inlineStr">
        <is>
          <t>ANGI-47</t>
        </is>
      </c>
      <c r="B35" t="inlineStr">
        <is>
          <t>[BE] F-45 Update Business Hour</t>
        </is>
      </c>
      <c r="C35" t="inlineStr">
        <is>
          <t>Trọng</t>
        </is>
      </c>
      <c r="D35" t="inlineStr">
        <is>
          <t>14/10/2026</t>
        </is>
      </c>
      <c r="E35" t="inlineStr">
        <is>
          <t>14/10/2026</t>
        </is>
      </c>
      <c r="F35" t="n">
        <v>5.3</v>
      </c>
      <c r="L35" s="7" t="n"/>
      <c r="M35" s="7" t="n"/>
      <c r="P35" s="6" t="n"/>
      <c r="S35" s="7" t="n"/>
      <c r="T35" s="7" t="n"/>
      <c r="Z35" s="7" t="n"/>
      <c r="AA35" s="7" t="n"/>
      <c r="AG35" s="7" t="n"/>
      <c r="AH35" s="7" t="n"/>
      <c r="AN35" s="7" t="n"/>
      <c r="AO35" s="7" t="n"/>
      <c r="AU35" s="7" t="n"/>
      <c r="AV35" s="7" t="n"/>
      <c r="BB35" s="7" t="n"/>
      <c r="BC35" s="7" t="n"/>
      <c r="BI35" s="7" t="n"/>
      <c r="BJ35" s="7" t="n"/>
      <c r="BP35" s="7" t="n"/>
      <c r="BQ35" s="7" t="n"/>
      <c r="BW35" s="7" t="n"/>
      <c r="BX35" s="7" t="n"/>
    </row>
    <row r="36">
      <c r="A36" t="inlineStr">
        <is>
          <t>ANGI-48</t>
        </is>
      </c>
      <c r="B36" t="inlineStr">
        <is>
          <t>[FE] F-45 Update Business Hour</t>
        </is>
      </c>
      <c r="C36" t="inlineStr">
        <is>
          <t>Tuấn</t>
        </is>
      </c>
      <c r="D36" t="inlineStr">
        <is>
          <t>14/10/2026</t>
        </is>
      </c>
      <c r="E36" t="inlineStr">
        <is>
          <t>14/10/2026</t>
        </is>
      </c>
      <c r="F36" t="n">
        <v>7</v>
      </c>
      <c r="L36" s="7" t="n"/>
      <c r="M36" s="7" t="n"/>
      <c r="P36" s="6" t="n"/>
      <c r="S36" s="7" t="n"/>
      <c r="T36" s="7" t="n"/>
      <c r="Z36" s="7" t="n"/>
      <c r="AA36" s="7" t="n"/>
      <c r="AG36" s="7" t="n"/>
      <c r="AH36" s="7" t="n"/>
      <c r="AN36" s="7" t="n"/>
      <c r="AO36" s="7" t="n"/>
      <c r="AU36" s="7" t="n"/>
      <c r="AV36" s="7" t="n"/>
      <c r="BB36" s="7" t="n"/>
      <c r="BC36" s="7" t="n"/>
      <c r="BI36" s="7" t="n"/>
      <c r="BJ36" s="7" t="n"/>
      <c r="BP36" s="7" t="n"/>
      <c r="BQ36" s="7" t="n"/>
      <c r="BW36" s="7" t="n"/>
      <c r="BX36" s="7" t="n"/>
    </row>
    <row r="37">
      <c r="A37" t="inlineStr">
        <is>
          <t>ANGI-49</t>
        </is>
      </c>
      <c r="B37" t="inlineStr">
        <is>
          <t>[BE] F-46 Update Status</t>
        </is>
      </c>
      <c r="C37" t="inlineStr">
        <is>
          <t>Trọng</t>
        </is>
      </c>
      <c r="D37" t="inlineStr">
        <is>
          <t>14/10/2026</t>
        </is>
      </c>
      <c r="E37" t="inlineStr">
        <is>
          <t>14/10/2026</t>
        </is>
      </c>
      <c r="F37" t="n">
        <v>5</v>
      </c>
      <c r="L37" s="7" t="n"/>
      <c r="M37" s="7" t="n"/>
      <c r="P37" s="6" t="n"/>
      <c r="S37" s="7" t="n"/>
      <c r="T37" s="7" t="n"/>
      <c r="Z37" s="7" t="n"/>
      <c r="AA37" s="7" t="n"/>
      <c r="AG37" s="7" t="n"/>
      <c r="AH37" s="7" t="n"/>
      <c r="AN37" s="7" t="n"/>
      <c r="AO37" s="7" t="n"/>
      <c r="AU37" s="7" t="n"/>
      <c r="AV37" s="7" t="n"/>
      <c r="BB37" s="7" t="n"/>
      <c r="BC37" s="7" t="n"/>
      <c r="BI37" s="7" t="n"/>
      <c r="BJ37" s="7" t="n"/>
      <c r="BP37" s="7" t="n"/>
      <c r="BQ37" s="7" t="n"/>
      <c r="BW37" s="7" t="n"/>
      <c r="BX37" s="7" t="n"/>
    </row>
    <row r="38">
      <c r="A38" t="inlineStr">
        <is>
          <t>ANGI-50</t>
        </is>
      </c>
      <c r="B38" s="8" t="inlineStr">
        <is>
          <t>Reco P1: Sinh dish vector (RECO-01 upsert, RECO-02 deactivate)</t>
        </is>
      </c>
      <c r="C38" t="inlineStr">
        <is>
          <t>Dũng</t>
        </is>
      </c>
      <c r="D38" t="inlineStr">
        <is>
          <t>14/10/2026</t>
        </is>
      </c>
      <c r="E38" t="inlineStr">
        <is>
          <t>15/10/2026</t>
        </is>
      </c>
      <c r="F38" t="n">
        <v>1.4</v>
      </c>
      <c r="L38" s="7" t="n"/>
      <c r="M38" s="7" t="n"/>
      <c r="P38" s="9" t="n"/>
      <c r="Q38" s="9" t="n"/>
      <c r="S38" s="7" t="n"/>
      <c r="T38" s="7" t="n"/>
      <c r="Z38" s="7" t="n"/>
      <c r="AA38" s="7" t="n"/>
      <c r="AG38" s="7" t="n"/>
      <c r="AH38" s="7" t="n"/>
      <c r="AN38" s="7" t="n"/>
      <c r="AO38" s="7" t="n"/>
      <c r="AU38" s="7" t="n"/>
      <c r="AV38" s="7" t="n"/>
      <c r="BB38" s="7" t="n"/>
      <c r="BC38" s="7" t="n"/>
      <c r="BI38" s="7" t="n"/>
      <c r="BJ38" s="7" t="n"/>
      <c r="BP38" s="7" t="n"/>
      <c r="BQ38" s="7" t="n"/>
      <c r="BW38" s="7" t="n"/>
      <c r="BX38" s="7" t="n"/>
    </row>
    <row r="39">
      <c r="A39" t="inlineStr">
        <is>
          <t>ANGI-51</t>
        </is>
      </c>
      <c r="B39" t="inlineStr">
        <is>
          <t>[FE] F-07 Manage Personal Profile</t>
        </is>
      </c>
      <c r="C39" t="inlineStr">
        <is>
          <t>Đức</t>
        </is>
      </c>
      <c r="D39" t="inlineStr">
        <is>
          <t>14/10/2026</t>
        </is>
      </c>
      <c r="E39" t="inlineStr">
        <is>
          <t>15/10/2026</t>
        </is>
      </c>
      <c r="F39" t="n">
        <v>6.5</v>
      </c>
      <c r="L39" s="7" t="n"/>
      <c r="M39" s="7" t="n"/>
      <c r="P39" s="6" t="n"/>
      <c r="Q39" s="6" t="n"/>
      <c r="S39" s="7" t="n"/>
      <c r="T39" s="7" t="n"/>
      <c r="Z39" s="7" t="n"/>
      <c r="AA39" s="7" t="n"/>
      <c r="AG39" s="7" t="n"/>
      <c r="AH39" s="7" t="n"/>
      <c r="AN39" s="7" t="n"/>
      <c r="AO39" s="7" t="n"/>
      <c r="AU39" s="7" t="n"/>
      <c r="AV39" s="7" t="n"/>
      <c r="BB39" s="7" t="n"/>
      <c r="BC39" s="7" t="n"/>
      <c r="BI39" s="7" t="n"/>
      <c r="BJ39" s="7" t="n"/>
      <c r="BP39" s="7" t="n"/>
      <c r="BQ39" s="7" t="n"/>
      <c r="BW39" s="7" t="n"/>
      <c r="BX39" s="7" t="n"/>
    </row>
    <row r="40">
      <c r="A40" t="inlineStr">
        <is>
          <t>ANGI-52</t>
        </is>
      </c>
      <c r="B40" t="inlineStr">
        <is>
          <t>[BE] F-48 View Verification Status</t>
        </is>
      </c>
      <c r="C40" t="inlineStr">
        <is>
          <t>Trọng</t>
        </is>
      </c>
      <c r="D40" t="inlineStr">
        <is>
          <t>14/10/2026</t>
        </is>
      </c>
      <c r="E40" t="inlineStr">
        <is>
          <t>15/10/2026</t>
        </is>
      </c>
      <c r="F40" t="n">
        <v>4.8</v>
      </c>
      <c r="L40" s="7" t="n"/>
      <c r="M40" s="7" t="n"/>
      <c r="P40" s="6" t="n"/>
      <c r="Q40" s="6" t="n"/>
      <c r="S40" s="7" t="n"/>
      <c r="T40" s="7" t="n"/>
      <c r="Z40" s="7" t="n"/>
      <c r="AA40" s="7" t="n"/>
      <c r="AG40" s="7" t="n"/>
      <c r="AH40" s="7" t="n"/>
      <c r="AN40" s="7" t="n"/>
      <c r="AO40" s="7" t="n"/>
      <c r="AU40" s="7" t="n"/>
      <c r="AV40" s="7" t="n"/>
      <c r="BB40" s="7" t="n"/>
      <c r="BC40" s="7" t="n"/>
      <c r="BI40" s="7" t="n"/>
      <c r="BJ40" s="7" t="n"/>
      <c r="BP40" s="7" t="n"/>
      <c r="BQ40" s="7" t="n"/>
      <c r="BW40" s="7" t="n"/>
      <c r="BX40" s="7" t="n"/>
    </row>
    <row r="41">
      <c r="A41" t="inlineStr">
        <is>
          <t>ANGI-53</t>
        </is>
      </c>
      <c r="B41" t="inlineStr">
        <is>
          <t>[BE] F-50 Manage Restaurant Menu</t>
        </is>
      </c>
      <c r="C41" t="inlineStr">
        <is>
          <t>Hưng</t>
        </is>
      </c>
      <c r="D41" t="inlineStr">
        <is>
          <t>14/10/2026</t>
        </is>
      </c>
      <c r="E41" t="inlineStr">
        <is>
          <t>15/10/2026</t>
        </is>
      </c>
      <c r="F41" t="n">
        <v>4.3</v>
      </c>
      <c r="L41" s="7" t="n"/>
      <c r="M41" s="7" t="n"/>
      <c r="P41" s="6" t="n"/>
      <c r="Q41" s="6" t="n"/>
      <c r="S41" s="7" t="n"/>
      <c r="T41" s="7" t="n"/>
      <c r="Z41" s="7" t="n"/>
      <c r="AA41" s="7" t="n"/>
      <c r="AG41" s="7" t="n"/>
      <c r="AH41" s="7" t="n"/>
      <c r="AN41" s="7" t="n"/>
      <c r="AO41" s="7" t="n"/>
      <c r="AU41" s="7" t="n"/>
      <c r="AV41" s="7" t="n"/>
      <c r="BB41" s="7" t="n"/>
      <c r="BC41" s="7" t="n"/>
      <c r="BI41" s="7" t="n"/>
      <c r="BJ41" s="7" t="n"/>
      <c r="BP41" s="7" t="n"/>
      <c r="BQ41" s="7" t="n"/>
      <c r="BW41" s="7" t="n"/>
      <c r="BX41" s="7" t="n"/>
    </row>
    <row r="42">
      <c r="A42" t="inlineStr">
        <is>
          <t>ANGI-54</t>
        </is>
      </c>
      <c r="B42" t="inlineStr">
        <is>
          <t>[FE] F-08 Change Password</t>
        </is>
      </c>
      <c r="C42" t="inlineStr">
        <is>
          <t>Đức</t>
        </is>
      </c>
      <c r="D42" t="inlineStr">
        <is>
          <t>15/10/2026</t>
        </is>
      </c>
      <c r="E42" t="inlineStr">
        <is>
          <t>15/10/2026</t>
        </is>
      </c>
      <c r="F42" t="n">
        <v>6.1</v>
      </c>
      <c r="L42" s="7" t="n"/>
      <c r="M42" s="7" t="n"/>
      <c r="Q42" s="6" t="n"/>
      <c r="S42" s="7" t="n"/>
      <c r="T42" s="7" t="n"/>
      <c r="Z42" s="7" t="n"/>
      <c r="AA42" s="7" t="n"/>
      <c r="AG42" s="7" t="n"/>
      <c r="AH42" s="7" t="n"/>
      <c r="AN42" s="7" t="n"/>
      <c r="AO42" s="7" t="n"/>
      <c r="AU42" s="7" t="n"/>
      <c r="AV42" s="7" t="n"/>
      <c r="BB42" s="7" t="n"/>
      <c r="BC42" s="7" t="n"/>
      <c r="BI42" s="7" t="n"/>
      <c r="BJ42" s="7" t="n"/>
      <c r="BP42" s="7" t="n"/>
      <c r="BQ42" s="7" t="n"/>
      <c r="BW42" s="7" t="n"/>
      <c r="BX42" s="7" t="n"/>
    </row>
    <row r="43">
      <c r="A43" t="inlineStr">
        <is>
          <t>ANGI-55</t>
        </is>
      </c>
      <c r="B43" t="inlineStr">
        <is>
          <t>[FE] F-46 Update Status</t>
        </is>
      </c>
      <c r="C43" t="inlineStr">
        <is>
          <t>Tuấn</t>
        </is>
      </c>
      <c r="D43" t="inlineStr">
        <is>
          <t>15/10/2026</t>
        </is>
      </c>
      <c r="E43" t="inlineStr">
        <is>
          <t>15/10/2026</t>
        </is>
      </c>
      <c r="F43" t="n">
        <v>6.6</v>
      </c>
      <c r="L43" s="7" t="n"/>
      <c r="M43" s="7" t="n"/>
      <c r="Q43" s="6" t="n"/>
      <c r="S43" s="7" t="n"/>
      <c r="T43" s="7" t="n"/>
      <c r="Z43" s="7" t="n"/>
      <c r="AA43" s="7" t="n"/>
      <c r="AG43" s="7" t="n"/>
      <c r="AH43" s="7" t="n"/>
      <c r="AN43" s="7" t="n"/>
      <c r="AO43" s="7" t="n"/>
      <c r="AU43" s="7" t="n"/>
      <c r="AV43" s="7" t="n"/>
      <c r="BB43" s="7" t="n"/>
      <c r="BC43" s="7" t="n"/>
      <c r="BI43" s="7" t="n"/>
      <c r="BJ43" s="7" t="n"/>
      <c r="BP43" s="7" t="n"/>
      <c r="BQ43" s="7" t="n"/>
      <c r="BW43" s="7" t="n"/>
      <c r="BX43" s="7" t="n"/>
    </row>
    <row r="44">
      <c r="A44" t="inlineStr">
        <is>
          <t>ANGI-56</t>
        </is>
      </c>
      <c r="B44" t="inlineStr">
        <is>
          <t>[BE] F-49 Resubmit Verification</t>
        </is>
      </c>
      <c r="C44" t="inlineStr">
        <is>
          <t>Trọng</t>
        </is>
      </c>
      <c r="D44" t="inlineStr">
        <is>
          <t>15/10/2026</t>
        </is>
      </c>
      <c r="E44" t="inlineStr">
        <is>
          <t>15/10/2026</t>
        </is>
      </c>
      <c r="F44" t="n">
        <v>4.2</v>
      </c>
      <c r="L44" s="7" t="n"/>
      <c r="M44" s="7" t="n"/>
      <c r="Q44" s="6" t="n"/>
      <c r="S44" s="7" t="n"/>
      <c r="T44" s="7" t="n"/>
      <c r="Z44" s="7" t="n"/>
      <c r="AA44" s="7" t="n"/>
      <c r="AG44" s="7" t="n"/>
      <c r="AH44" s="7" t="n"/>
      <c r="AN44" s="7" t="n"/>
      <c r="AO44" s="7" t="n"/>
      <c r="AU44" s="7" t="n"/>
      <c r="AV44" s="7" t="n"/>
      <c r="BB44" s="7" t="n"/>
      <c r="BC44" s="7" t="n"/>
      <c r="BI44" s="7" t="n"/>
      <c r="BJ44" s="7" t="n"/>
      <c r="BP44" s="7" t="n"/>
      <c r="BQ44" s="7" t="n"/>
      <c r="BW44" s="7" t="n"/>
      <c r="BX44" s="7" t="n"/>
    </row>
    <row r="45">
      <c r="A45" t="inlineStr">
        <is>
          <t>ANGI-57</t>
        </is>
      </c>
      <c r="B45" s="8" t="inlineStr">
        <is>
          <t>Reco P1: Cold start (Pooled Wilson) + Content-based, RECO-05 /recommendations, RECO-06 /impressions</t>
        </is>
      </c>
      <c r="C45" t="inlineStr">
        <is>
          <t>Dũng</t>
        </is>
      </c>
      <c r="D45" t="inlineStr">
        <is>
          <t>15/10/2026</t>
        </is>
      </c>
      <c r="E45" t="inlineStr">
        <is>
          <t>16/10/2026</t>
        </is>
      </c>
      <c r="F45" t="n">
        <v>1.4</v>
      </c>
      <c r="L45" s="7" t="n"/>
      <c r="M45" s="7" t="n"/>
      <c r="Q45" s="9" t="n"/>
      <c r="R45" s="9" t="n"/>
      <c r="S45" s="7" t="n"/>
      <c r="T45" s="7" t="n"/>
      <c r="Z45" s="7" t="n"/>
      <c r="AA45" s="7" t="n"/>
      <c r="AG45" s="7" t="n"/>
      <c r="AH45" s="7" t="n"/>
      <c r="AN45" s="7" t="n"/>
      <c r="AO45" s="7" t="n"/>
      <c r="AU45" s="7" t="n"/>
      <c r="AV45" s="7" t="n"/>
      <c r="BB45" s="7" t="n"/>
      <c r="BC45" s="7" t="n"/>
      <c r="BI45" s="7" t="n"/>
      <c r="BJ45" s="7" t="n"/>
      <c r="BP45" s="7" t="n"/>
      <c r="BQ45" s="7" t="n"/>
      <c r="BW45" s="7" t="n"/>
      <c r="BX45" s="7" t="n"/>
    </row>
    <row r="46">
      <c r="A46" t="inlineStr">
        <is>
          <t>ANGI-58</t>
        </is>
      </c>
      <c r="B46" t="inlineStr">
        <is>
          <t>[BE] F-02 Verify Email</t>
        </is>
      </c>
      <c r="C46" t="inlineStr">
        <is>
          <t>Hưng</t>
        </is>
      </c>
      <c r="D46" t="inlineStr">
        <is>
          <t>15/10/2026</t>
        </is>
      </c>
      <c r="E46" t="inlineStr">
        <is>
          <t>16/10/2026</t>
        </is>
      </c>
      <c r="F46" t="n">
        <v>3.8</v>
      </c>
      <c r="L46" s="7" t="n"/>
      <c r="M46" s="7" t="n"/>
      <c r="Q46" s="6" t="n"/>
      <c r="R46" s="6" t="n"/>
      <c r="S46" s="7" t="n"/>
      <c r="T46" s="7" t="n"/>
      <c r="Z46" s="7" t="n"/>
      <c r="AA46" s="7" t="n"/>
      <c r="AG46" s="7" t="n"/>
      <c r="AH46" s="7" t="n"/>
      <c r="AN46" s="7" t="n"/>
      <c r="AO46" s="7" t="n"/>
      <c r="AU46" s="7" t="n"/>
      <c r="AV46" s="7" t="n"/>
      <c r="BB46" s="7" t="n"/>
      <c r="BC46" s="7" t="n"/>
      <c r="BI46" s="7" t="n"/>
      <c r="BJ46" s="7" t="n"/>
      <c r="BP46" s="7" t="n"/>
      <c r="BQ46" s="7" t="n"/>
      <c r="BW46" s="7" t="n"/>
      <c r="BX46" s="7" t="n"/>
    </row>
    <row r="47">
      <c r="A47" t="inlineStr">
        <is>
          <t>ANGI-59</t>
        </is>
      </c>
      <c r="B47" t="inlineStr">
        <is>
          <t>[FE] F-02 Verify Email</t>
        </is>
      </c>
      <c r="C47" t="inlineStr">
        <is>
          <t>Đức</t>
        </is>
      </c>
      <c r="D47" t="inlineStr">
        <is>
          <t>15/10/2026</t>
        </is>
      </c>
      <c r="E47" t="inlineStr">
        <is>
          <t>16/10/2026</t>
        </is>
      </c>
      <c r="F47" t="n">
        <v>5.8</v>
      </c>
      <c r="L47" s="7" t="n"/>
      <c r="M47" s="7" t="n"/>
      <c r="Q47" s="6" t="n"/>
      <c r="R47" s="6" t="n"/>
      <c r="S47" s="7" t="n"/>
      <c r="T47" s="7" t="n"/>
      <c r="Z47" s="7" t="n"/>
      <c r="AA47" s="7" t="n"/>
      <c r="AG47" s="7" t="n"/>
      <c r="AH47" s="7" t="n"/>
      <c r="AN47" s="7" t="n"/>
      <c r="AO47" s="7" t="n"/>
      <c r="AU47" s="7" t="n"/>
      <c r="AV47" s="7" t="n"/>
      <c r="BB47" s="7" t="n"/>
      <c r="BC47" s="7" t="n"/>
      <c r="BI47" s="7" t="n"/>
      <c r="BJ47" s="7" t="n"/>
      <c r="BP47" s="7" t="n"/>
      <c r="BQ47" s="7" t="n"/>
      <c r="BW47" s="7" t="n"/>
      <c r="BX47" s="7" t="n"/>
    </row>
    <row r="48">
      <c r="A48" t="inlineStr">
        <is>
          <t>ANGI-60</t>
        </is>
      </c>
      <c r="B48" t="inlineStr">
        <is>
          <t>[BE] F-13 View Dish Detail</t>
        </is>
      </c>
      <c r="C48" t="inlineStr">
        <is>
          <t>Trọng</t>
        </is>
      </c>
      <c r="D48" t="inlineStr">
        <is>
          <t>15/10/2026</t>
        </is>
      </c>
      <c r="E48" t="inlineStr">
        <is>
          <t>16/10/2026</t>
        </is>
      </c>
      <c r="F48" t="n">
        <v>3.7</v>
      </c>
      <c r="L48" s="7" t="n"/>
      <c r="M48" s="7" t="n"/>
      <c r="Q48" s="6" t="n"/>
      <c r="R48" s="6" t="n"/>
      <c r="S48" s="7" t="n"/>
      <c r="T48" s="7" t="n"/>
      <c r="Z48" s="7" t="n"/>
      <c r="AA48" s="7" t="n"/>
      <c r="AG48" s="7" t="n"/>
      <c r="AH48" s="7" t="n"/>
      <c r="AN48" s="7" t="n"/>
      <c r="AO48" s="7" t="n"/>
      <c r="AU48" s="7" t="n"/>
      <c r="AV48" s="7" t="n"/>
      <c r="BB48" s="7" t="n"/>
      <c r="BC48" s="7" t="n"/>
      <c r="BI48" s="7" t="n"/>
      <c r="BJ48" s="7" t="n"/>
      <c r="BP48" s="7" t="n"/>
      <c r="BQ48" s="7" t="n"/>
      <c r="BW48" s="7" t="n"/>
      <c r="BX48" s="7" t="n"/>
    </row>
    <row r="49">
      <c r="A49" t="inlineStr">
        <is>
          <t>ANGI-61</t>
        </is>
      </c>
      <c r="B49" t="inlineStr">
        <is>
          <t>[FE] F-47 Submit Verification</t>
        </is>
      </c>
      <c r="C49" t="inlineStr">
        <is>
          <t>Tuấn</t>
        </is>
      </c>
      <c r="D49" t="inlineStr">
        <is>
          <t>15/10/2026</t>
        </is>
      </c>
      <c r="E49" t="inlineStr">
        <is>
          <t>16/10/2026</t>
        </is>
      </c>
      <c r="F49" t="n">
        <v>5.5</v>
      </c>
      <c r="L49" s="7" t="n"/>
      <c r="M49" s="7" t="n"/>
      <c r="Q49" s="6" t="n"/>
      <c r="R49" s="6" t="n"/>
      <c r="S49" s="7" t="n"/>
      <c r="T49" s="7" t="n"/>
      <c r="Z49" s="7" t="n"/>
      <c r="AA49" s="7" t="n"/>
      <c r="AG49" s="7" t="n"/>
      <c r="AH49" s="7" t="n"/>
      <c r="AN49" s="7" t="n"/>
      <c r="AO49" s="7" t="n"/>
      <c r="AU49" s="7" t="n"/>
      <c r="AV49" s="7" t="n"/>
      <c r="BB49" s="7" t="n"/>
      <c r="BC49" s="7" t="n"/>
      <c r="BI49" s="7" t="n"/>
      <c r="BJ49" s="7" t="n"/>
      <c r="BP49" s="7" t="n"/>
      <c r="BQ49" s="7" t="n"/>
      <c r="BW49" s="7" t="n"/>
      <c r="BX49" s="7" t="n"/>
    </row>
    <row r="50">
      <c r="A50" t="inlineStr">
        <is>
          <t>ANGI-62</t>
        </is>
      </c>
      <c r="B50" t="inlineStr">
        <is>
          <t>[BE] F-04 Login with Google</t>
        </is>
      </c>
      <c r="C50" t="inlineStr">
        <is>
          <t>Hưng</t>
        </is>
      </c>
      <c r="D50" t="inlineStr">
        <is>
          <t>16/10/2026</t>
        </is>
      </c>
      <c r="E50" t="inlineStr">
        <is>
          <t>16/10/2026</t>
        </is>
      </c>
      <c r="F50" t="n">
        <v>3.2</v>
      </c>
      <c r="L50" s="7" t="n"/>
      <c r="M50" s="7" t="n"/>
      <c r="R50" s="6" t="n"/>
      <c r="S50" s="7" t="n"/>
      <c r="T50" s="7" t="n"/>
      <c r="Z50" s="7" t="n"/>
      <c r="AA50" s="7" t="n"/>
      <c r="AG50" s="7" t="n"/>
      <c r="AH50" s="7" t="n"/>
      <c r="AN50" s="7" t="n"/>
      <c r="AO50" s="7" t="n"/>
      <c r="AU50" s="7" t="n"/>
      <c r="AV50" s="7" t="n"/>
      <c r="BB50" s="7" t="n"/>
      <c r="BC50" s="7" t="n"/>
      <c r="BI50" s="7" t="n"/>
      <c r="BJ50" s="7" t="n"/>
      <c r="BP50" s="7" t="n"/>
      <c r="BQ50" s="7" t="n"/>
      <c r="BW50" s="7" t="n"/>
      <c r="BX50" s="7" t="n"/>
    </row>
    <row r="51">
      <c r="A51" t="inlineStr">
        <is>
          <t>ANGI-63</t>
        </is>
      </c>
      <c r="B51" t="inlineStr">
        <is>
          <t>[FE] F-13 View Dish Detail</t>
        </is>
      </c>
      <c r="C51" t="inlineStr">
        <is>
          <t>Đức</t>
        </is>
      </c>
      <c r="D51" t="inlineStr">
        <is>
          <t>16/10/2026</t>
        </is>
      </c>
      <c r="E51" t="inlineStr">
        <is>
          <t>16/10/2026</t>
        </is>
      </c>
      <c r="F51" t="n">
        <v>5.2</v>
      </c>
      <c r="L51" s="7" t="n"/>
      <c r="M51" s="7" t="n"/>
      <c r="R51" s="6" t="n"/>
      <c r="S51" s="7" t="n"/>
      <c r="T51" s="7" t="n"/>
      <c r="Z51" s="7" t="n"/>
      <c r="AA51" s="7" t="n"/>
      <c r="AG51" s="7" t="n"/>
      <c r="AH51" s="7" t="n"/>
      <c r="AN51" s="7" t="n"/>
      <c r="AO51" s="7" t="n"/>
      <c r="AU51" s="7" t="n"/>
      <c r="AV51" s="7" t="n"/>
      <c r="BB51" s="7" t="n"/>
      <c r="BC51" s="7" t="n"/>
      <c r="BI51" s="7" t="n"/>
      <c r="BJ51" s="7" t="n"/>
      <c r="BP51" s="7" t="n"/>
      <c r="BQ51" s="7" t="n"/>
      <c r="BW51" s="7" t="n"/>
      <c r="BX51" s="7" t="n"/>
    </row>
    <row r="52">
      <c r="A52" t="inlineStr">
        <is>
          <t>ANGI-64</t>
        </is>
      </c>
      <c r="B52" t="inlineStr">
        <is>
          <t>[BE] F-14 View Corresponding Restaurant Detail</t>
        </is>
      </c>
      <c r="C52" t="inlineStr">
        <is>
          <t>Trọng</t>
        </is>
      </c>
      <c r="D52" t="inlineStr">
        <is>
          <t>16/10/2026</t>
        </is>
      </c>
      <c r="E52" t="inlineStr">
        <is>
          <t>16/10/2026</t>
        </is>
      </c>
      <c r="F52" t="n">
        <v>3.4</v>
      </c>
      <c r="L52" s="7" t="n"/>
      <c r="M52" s="7" t="n"/>
      <c r="R52" s="6" t="n"/>
      <c r="S52" s="7" t="n"/>
      <c r="T52" s="7" t="n"/>
      <c r="Z52" s="7" t="n"/>
      <c r="AA52" s="7" t="n"/>
      <c r="AG52" s="7" t="n"/>
      <c r="AH52" s="7" t="n"/>
      <c r="AN52" s="7" t="n"/>
      <c r="AO52" s="7" t="n"/>
      <c r="AU52" s="7" t="n"/>
      <c r="AV52" s="7" t="n"/>
      <c r="BB52" s="7" t="n"/>
      <c r="BC52" s="7" t="n"/>
      <c r="BI52" s="7" t="n"/>
      <c r="BJ52" s="7" t="n"/>
      <c r="BP52" s="7" t="n"/>
      <c r="BQ52" s="7" t="n"/>
      <c r="BW52" s="7" t="n"/>
      <c r="BX52" s="7" t="n"/>
    </row>
    <row r="53">
      <c r="A53" t="inlineStr">
        <is>
          <t>ANGI-65</t>
        </is>
      </c>
      <c r="B53" t="inlineStr">
        <is>
          <t>[FE] F-48 View Verification Status</t>
        </is>
      </c>
      <c r="C53" t="inlineStr">
        <is>
          <t>Tuấn</t>
        </is>
      </c>
      <c r="D53" t="inlineStr">
        <is>
          <t>16/10/2026</t>
        </is>
      </c>
      <c r="E53" t="inlineStr">
        <is>
          <t>16/10/2026</t>
        </is>
      </c>
      <c r="F53" t="n">
        <v>5.1</v>
      </c>
      <c r="L53" s="7" t="n"/>
      <c r="M53" s="7" t="n"/>
      <c r="R53" s="6" t="n"/>
      <c r="S53" s="7" t="n"/>
      <c r="T53" s="7" t="n"/>
      <c r="Z53" s="7" t="n"/>
      <c r="AA53" s="7" t="n"/>
      <c r="AG53" s="7" t="n"/>
      <c r="AH53" s="7" t="n"/>
      <c r="AN53" s="7" t="n"/>
      <c r="AO53" s="7" t="n"/>
      <c r="AU53" s="7" t="n"/>
      <c r="AV53" s="7" t="n"/>
      <c r="BB53" s="7" t="n"/>
      <c r="BC53" s="7" t="n"/>
      <c r="BI53" s="7" t="n"/>
      <c r="BJ53" s="7" t="n"/>
      <c r="BP53" s="7" t="n"/>
      <c r="BQ53" s="7" t="n"/>
      <c r="BW53" s="7" t="n"/>
      <c r="BX53" s="7" t="n"/>
    </row>
    <row r="54">
      <c r="A54" t="inlineStr">
        <is>
          <t>ANGI-66</t>
        </is>
      </c>
      <c r="B54" t="inlineStr">
        <is>
          <t>[BE] F-05 Forgot Password</t>
        </is>
      </c>
      <c r="C54" t="inlineStr">
        <is>
          <t>Hưng</t>
        </is>
      </c>
      <c r="D54" t="inlineStr">
        <is>
          <t>16/10/2026</t>
        </is>
      </c>
      <c r="E54" t="inlineStr">
        <is>
          <t>17/10/2026</t>
        </is>
      </c>
      <c r="F54" t="n">
        <v>2.8</v>
      </c>
      <c r="L54" s="7" t="n"/>
      <c r="M54" s="7" t="n"/>
      <c r="R54" s="6" t="n"/>
      <c r="S54" s="6" t="n"/>
      <c r="T54" s="7" t="n"/>
      <c r="Z54" s="7" t="n"/>
      <c r="AA54" s="7" t="n"/>
      <c r="AG54" s="7" t="n"/>
      <c r="AH54" s="7" t="n"/>
      <c r="AN54" s="7" t="n"/>
      <c r="AO54" s="7" t="n"/>
      <c r="AU54" s="7" t="n"/>
      <c r="AV54" s="7" t="n"/>
      <c r="BB54" s="7" t="n"/>
      <c r="BC54" s="7" t="n"/>
      <c r="BI54" s="7" t="n"/>
      <c r="BJ54" s="7" t="n"/>
      <c r="BP54" s="7" t="n"/>
      <c r="BQ54" s="7" t="n"/>
      <c r="BW54" s="7" t="n"/>
      <c r="BX54" s="7" t="n"/>
    </row>
    <row r="55">
      <c r="A55" t="inlineStr">
        <is>
          <t>ANGI-67</t>
        </is>
      </c>
      <c r="B55" t="inlineStr">
        <is>
          <t>[FE] F-14 View Corresponding Restaurant Detail</t>
        </is>
      </c>
      <c r="C55" t="inlineStr">
        <is>
          <t>Đức</t>
        </is>
      </c>
      <c r="D55" t="inlineStr">
        <is>
          <t>16/10/2026</t>
        </is>
      </c>
      <c r="E55" t="inlineStr">
        <is>
          <t>17/10/2026</t>
        </is>
      </c>
      <c r="F55" t="n">
        <v>4.9</v>
      </c>
      <c r="L55" s="7" t="n"/>
      <c r="M55" s="7" t="n"/>
      <c r="R55" s="6" t="n"/>
      <c r="S55" s="6" t="n"/>
      <c r="T55" s="7" t="n"/>
      <c r="Z55" s="7" t="n"/>
      <c r="AA55" s="7" t="n"/>
      <c r="AG55" s="7" t="n"/>
      <c r="AH55" s="7" t="n"/>
      <c r="AN55" s="7" t="n"/>
      <c r="AO55" s="7" t="n"/>
      <c r="AU55" s="7" t="n"/>
      <c r="AV55" s="7" t="n"/>
      <c r="BB55" s="7" t="n"/>
      <c r="BC55" s="7" t="n"/>
      <c r="BI55" s="7" t="n"/>
      <c r="BJ55" s="7" t="n"/>
      <c r="BP55" s="7" t="n"/>
      <c r="BQ55" s="7" t="n"/>
      <c r="BW55" s="7" t="n"/>
      <c r="BX55" s="7" t="n"/>
    </row>
    <row r="56">
      <c r="A56" t="inlineStr">
        <is>
          <t>ANGI-68</t>
        </is>
      </c>
      <c r="B56" t="inlineStr">
        <is>
          <t>[FE] F-49 Resubmit Verification</t>
        </is>
      </c>
      <c r="C56" t="inlineStr">
        <is>
          <t>Tuấn</t>
        </is>
      </c>
      <c r="D56" t="inlineStr">
        <is>
          <t>16/10/2026</t>
        </is>
      </c>
      <c r="E56" t="inlineStr">
        <is>
          <t>17/10/2026</t>
        </is>
      </c>
      <c r="F56" t="n">
        <v>4.4</v>
      </c>
      <c r="L56" s="7" t="n"/>
      <c r="M56" s="7" t="n"/>
      <c r="R56" s="6" t="n"/>
      <c r="S56" s="6" t="n"/>
      <c r="T56" s="7" t="n"/>
      <c r="Z56" s="7" t="n"/>
      <c r="AA56" s="7" t="n"/>
      <c r="AG56" s="7" t="n"/>
      <c r="AH56" s="7" t="n"/>
      <c r="AN56" s="7" t="n"/>
      <c r="AO56" s="7" t="n"/>
      <c r="AU56" s="7" t="n"/>
      <c r="AV56" s="7" t="n"/>
      <c r="BB56" s="7" t="n"/>
      <c r="BC56" s="7" t="n"/>
      <c r="BI56" s="7" t="n"/>
      <c r="BJ56" s="7" t="n"/>
      <c r="BP56" s="7" t="n"/>
      <c r="BQ56" s="7" t="n"/>
      <c r="BW56" s="7" t="n"/>
      <c r="BX56" s="7" t="n"/>
    </row>
    <row r="57">
      <c r="A57" t="inlineStr">
        <is>
          <t>ANGI-69</t>
        </is>
      </c>
      <c r="B57" s="8" t="inlineStr">
        <is>
          <t>[BE] F-12 Browse Dish</t>
        </is>
      </c>
      <c r="C57" t="inlineStr">
        <is>
          <t>Trọng</t>
        </is>
      </c>
      <c r="D57" t="inlineStr">
        <is>
          <t>17/10/2026</t>
        </is>
      </c>
      <c r="E57" t="inlineStr">
        <is>
          <t>17/10/2026</t>
        </is>
      </c>
      <c r="F57" t="n">
        <v>1.4</v>
      </c>
      <c r="L57" s="7" t="n"/>
      <c r="M57" s="7" t="n"/>
      <c r="S57" s="9" t="n"/>
      <c r="T57" s="7" t="n"/>
      <c r="Z57" s="7" t="n"/>
      <c r="AA57" s="7" t="n"/>
      <c r="AG57" s="7" t="n"/>
      <c r="AH57" s="7" t="n"/>
      <c r="AN57" s="7" t="n"/>
      <c r="AO57" s="7" t="n"/>
      <c r="AU57" s="7" t="n"/>
      <c r="AV57" s="7" t="n"/>
      <c r="BB57" s="7" t="n"/>
      <c r="BC57" s="7" t="n"/>
      <c r="BI57" s="7" t="n"/>
      <c r="BJ57" s="7" t="n"/>
      <c r="BP57" s="7" t="n"/>
      <c r="BQ57" s="7" t="n"/>
      <c r="BW57" s="7" t="n"/>
      <c r="BX57" s="7" t="n"/>
    </row>
    <row r="58">
      <c r="A58" t="inlineStr">
        <is>
          <t>ANGI-70</t>
        </is>
      </c>
      <c r="B58" t="inlineStr">
        <is>
          <t>[BE] F-06 Reset Password</t>
        </is>
      </c>
      <c r="C58" t="inlineStr">
        <is>
          <t>Hưng</t>
        </is>
      </c>
      <c r="D58" t="inlineStr">
        <is>
          <t>17/10/2026</t>
        </is>
      </c>
      <c r="E58" t="inlineStr">
        <is>
          <t>17/10/2026</t>
        </is>
      </c>
      <c r="F58" t="n">
        <v>2.3</v>
      </c>
      <c r="L58" s="7" t="n"/>
      <c r="M58" s="7" t="n"/>
      <c r="S58" s="6" t="n"/>
      <c r="T58" s="7" t="n"/>
      <c r="Z58" s="7" t="n"/>
      <c r="AA58" s="7" t="n"/>
      <c r="AG58" s="7" t="n"/>
      <c r="AH58" s="7" t="n"/>
      <c r="AN58" s="7" t="n"/>
      <c r="AO58" s="7" t="n"/>
      <c r="AU58" s="7" t="n"/>
      <c r="AV58" s="7" t="n"/>
      <c r="BB58" s="7" t="n"/>
      <c r="BC58" s="7" t="n"/>
      <c r="BI58" s="7" t="n"/>
      <c r="BJ58" s="7" t="n"/>
      <c r="BP58" s="7" t="n"/>
      <c r="BQ58" s="7" t="n"/>
      <c r="BW58" s="7" t="n"/>
      <c r="BX58" s="7" t="n"/>
    </row>
    <row r="59">
      <c r="A59" t="inlineStr">
        <is>
          <t>ANGI-71</t>
        </is>
      </c>
      <c r="B59" t="inlineStr">
        <is>
          <t>[BE] F-17 Set Up Preference Profile</t>
        </is>
      </c>
      <c r="C59" t="inlineStr">
        <is>
          <t>Dũng</t>
        </is>
      </c>
      <c r="D59" t="inlineStr">
        <is>
          <t>17/10/2026</t>
        </is>
      </c>
      <c r="E59" t="inlineStr">
        <is>
          <t>17/10/2026</t>
        </is>
      </c>
      <c r="F59" t="n">
        <v>2</v>
      </c>
      <c r="L59" s="7" t="n"/>
      <c r="M59" s="7" t="n"/>
      <c r="S59" s="6" t="n"/>
      <c r="T59" s="7" t="n"/>
      <c r="Z59" s="7" t="n"/>
      <c r="AA59" s="7" t="n"/>
      <c r="AG59" s="7" t="n"/>
      <c r="AH59" s="7" t="n"/>
      <c r="AN59" s="7" t="n"/>
      <c r="AO59" s="7" t="n"/>
      <c r="AU59" s="7" t="n"/>
      <c r="AV59" s="7" t="n"/>
      <c r="BB59" s="7" t="n"/>
      <c r="BC59" s="7" t="n"/>
      <c r="BI59" s="7" t="n"/>
      <c r="BJ59" s="7" t="n"/>
      <c r="BP59" s="7" t="n"/>
      <c r="BQ59" s="7" t="n"/>
      <c r="BW59" s="7" t="n"/>
      <c r="BX59" s="7" t="n"/>
    </row>
    <row r="60">
      <c r="A60" t="inlineStr">
        <is>
          <t>ANGI-72</t>
        </is>
      </c>
      <c r="B60" s="8" t="inlineStr">
        <is>
          <t>[BE] F-11 View Home Page</t>
        </is>
      </c>
      <c r="C60" t="inlineStr">
        <is>
          <t>Trọng</t>
        </is>
      </c>
      <c r="D60" t="inlineStr">
        <is>
          <t>17/10/2026</t>
        </is>
      </c>
      <c r="E60" t="inlineStr">
        <is>
          <t>18/10/2026</t>
        </is>
      </c>
      <c r="F60" t="n">
        <v>1.4</v>
      </c>
      <c r="L60" s="7" t="n"/>
      <c r="M60" s="7" t="n"/>
      <c r="S60" s="9" t="n"/>
      <c r="T60" s="9" t="n"/>
      <c r="Z60" s="7" t="n"/>
      <c r="AA60" s="7" t="n"/>
      <c r="AG60" s="7" t="n"/>
      <c r="AH60" s="7" t="n"/>
      <c r="AN60" s="7" t="n"/>
      <c r="AO60" s="7" t="n"/>
      <c r="AU60" s="7" t="n"/>
      <c r="AV60" s="7" t="n"/>
      <c r="BB60" s="7" t="n"/>
      <c r="BC60" s="7" t="n"/>
      <c r="BI60" s="7" t="n"/>
      <c r="BJ60" s="7" t="n"/>
      <c r="BP60" s="7" t="n"/>
      <c r="BQ60" s="7" t="n"/>
      <c r="BW60" s="7" t="n"/>
      <c r="BX60" s="7" t="n"/>
    </row>
    <row r="61">
      <c r="A61" t="inlineStr">
        <is>
          <t>ANGI-73</t>
        </is>
      </c>
      <c r="B61" t="inlineStr">
        <is>
          <t>[FE] F-12 Browse Dish</t>
        </is>
      </c>
      <c r="C61" t="inlineStr">
        <is>
          <t>Đức</t>
        </is>
      </c>
      <c r="D61" t="inlineStr">
        <is>
          <t>17/10/2026</t>
        </is>
      </c>
      <c r="E61" t="inlineStr">
        <is>
          <t>18/10/2026</t>
        </is>
      </c>
      <c r="F61" t="n">
        <v>3.9</v>
      </c>
      <c r="L61" s="7" t="n"/>
      <c r="M61" s="7" t="n"/>
      <c r="S61" s="6" t="n"/>
      <c r="T61" s="6" t="n"/>
      <c r="Z61" s="7" t="n"/>
      <c r="AA61" s="7" t="n"/>
      <c r="AG61" s="7" t="n"/>
      <c r="AH61" s="7" t="n"/>
      <c r="AN61" s="7" t="n"/>
      <c r="AO61" s="7" t="n"/>
      <c r="AU61" s="7" t="n"/>
      <c r="AV61" s="7" t="n"/>
      <c r="BB61" s="7" t="n"/>
      <c r="BC61" s="7" t="n"/>
      <c r="BI61" s="7" t="n"/>
      <c r="BJ61" s="7" t="n"/>
      <c r="BP61" s="7" t="n"/>
      <c r="BQ61" s="7" t="n"/>
      <c r="BW61" s="7" t="n"/>
      <c r="BX61" s="7" t="n"/>
    </row>
    <row r="62">
      <c r="A62" t="inlineStr">
        <is>
          <t>ANGI-74</t>
        </is>
      </c>
      <c r="B62" t="inlineStr">
        <is>
          <t>[FE] F-17 Set Up Preference Profile</t>
        </is>
      </c>
      <c r="C62" t="inlineStr">
        <is>
          <t>Tuấn</t>
        </is>
      </c>
      <c r="D62" t="inlineStr">
        <is>
          <t>17/10/2026</t>
        </is>
      </c>
      <c r="E62" t="inlineStr">
        <is>
          <t>18/10/2026</t>
        </is>
      </c>
      <c r="F62" t="n">
        <v>3.6</v>
      </c>
      <c r="L62" s="7" t="n"/>
      <c r="M62" s="7" t="n"/>
      <c r="S62" s="6" t="n"/>
      <c r="T62" s="6" t="n"/>
      <c r="Z62" s="7" t="n"/>
      <c r="AA62" s="7" t="n"/>
      <c r="AG62" s="7" t="n"/>
      <c r="AH62" s="7" t="n"/>
      <c r="AN62" s="7" t="n"/>
      <c r="AO62" s="7" t="n"/>
      <c r="AU62" s="7" t="n"/>
      <c r="AV62" s="7" t="n"/>
      <c r="BB62" s="7" t="n"/>
      <c r="BC62" s="7" t="n"/>
      <c r="BI62" s="7" t="n"/>
      <c r="BJ62" s="7" t="n"/>
      <c r="BP62" s="7" t="n"/>
      <c r="BQ62" s="7" t="n"/>
      <c r="BW62" s="7" t="n"/>
      <c r="BX62" s="7" t="n"/>
    </row>
    <row r="63">
      <c r="A63" t="inlineStr">
        <is>
          <t>ANGI-75</t>
        </is>
      </c>
      <c r="B63" t="inlineStr">
        <is>
          <t>[BE] F-47 Submit Verification</t>
        </is>
      </c>
      <c r="C63" t="inlineStr">
        <is>
          <t>Hưng</t>
        </is>
      </c>
      <c r="D63" t="inlineStr">
        <is>
          <t>17/10/2026</t>
        </is>
      </c>
      <c r="E63" t="inlineStr">
        <is>
          <t>18/10/2026</t>
        </is>
      </c>
      <c r="F63" t="n">
        <v>1.7</v>
      </c>
      <c r="L63" s="7" t="n"/>
      <c r="M63" s="7" t="n"/>
      <c r="S63" s="6" t="n"/>
      <c r="T63" s="6" t="n"/>
      <c r="Z63" s="7" t="n"/>
      <c r="AA63" s="7" t="n"/>
      <c r="AG63" s="7" t="n"/>
      <c r="AH63" s="7" t="n"/>
      <c r="AN63" s="7" t="n"/>
      <c r="AO63" s="7" t="n"/>
      <c r="AU63" s="7" t="n"/>
      <c r="AV63" s="7" t="n"/>
      <c r="BB63" s="7" t="n"/>
      <c r="BC63" s="7" t="n"/>
      <c r="BI63" s="7" t="n"/>
      <c r="BJ63" s="7" t="n"/>
      <c r="BP63" s="7" t="n"/>
      <c r="BQ63" s="7" t="n"/>
      <c r="BW63" s="7" t="n"/>
      <c r="BX63" s="7" t="n"/>
    </row>
    <row r="64">
      <c r="A64" t="inlineStr">
        <is>
          <t>ANGI-76</t>
        </is>
      </c>
      <c r="B64" s="8" t="inlineStr">
        <is>
          <t>[BE] F-51 Submit Menu for Approval</t>
        </is>
      </c>
      <c r="C64" t="inlineStr">
        <is>
          <t>Hưng</t>
        </is>
      </c>
      <c r="D64" t="inlineStr">
        <is>
          <t>18/10/2026</t>
        </is>
      </c>
      <c r="E64" t="inlineStr">
        <is>
          <t>18/10/2026</t>
        </is>
      </c>
      <c r="F64" t="n">
        <v>1</v>
      </c>
      <c r="L64" s="7" t="n"/>
      <c r="M64" s="7" t="n"/>
      <c r="S64" s="7" t="n"/>
      <c r="T64" s="9" t="n"/>
      <c r="Z64" s="7" t="n"/>
      <c r="AA64" s="7" t="n"/>
      <c r="AG64" s="7" t="n"/>
      <c r="AH64" s="7" t="n"/>
      <c r="AN64" s="7" t="n"/>
      <c r="AO64" s="7" t="n"/>
      <c r="AU64" s="7" t="n"/>
      <c r="AV64" s="7" t="n"/>
      <c r="BB64" s="7" t="n"/>
      <c r="BC64" s="7" t="n"/>
      <c r="BI64" s="7" t="n"/>
      <c r="BJ64" s="7" t="n"/>
      <c r="BP64" s="7" t="n"/>
      <c r="BQ64" s="7" t="n"/>
      <c r="BW64" s="7" t="n"/>
      <c r="BX64" s="7" t="n"/>
    </row>
    <row r="65">
      <c r="A65" t="inlineStr">
        <is>
          <t>ANGI-77</t>
        </is>
      </c>
      <c r="B65" t="inlineStr">
        <is>
          <t>Outbox worker (.NET) gửi thay đổi món và like/dislike sang reco</t>
        </is>
      </c>
      <c r="C65" t="inlineStr">
        <is>
          <t>Dũng</t>
        </is>
      </c>
      <c r="D65" t="inlineStr">
        <is>
          <t>18/10/2026</t>
        </is>
      </c>
      <c r="E65" t="inlineStr">
        <is>
          <t>18/10/2026</t>
        </is>
      </c>
      <c r="F65" t="n">
        <v>3</v>
      </c>
      <c r="L65" s="7" t="n"/>
      <c r="M65" s="7" t="n"/>
      <c r="S65" s="7" t="n"/>
      <c r="T65" s="6" t="n"/>
      <c r="Z65" s="7" t="n"/>
      <c r="AA65" s="7" t="n"/>
      <c r="AG65" s="7" t="n"/>
      <c r="AH65" s="7" t="n"/>
      <c r="AN65" s="7" t="n"/>
      <c r="AO65" s="7" t="n"/>
      <c r="AU65" s="7" t="n"/>
      <c r="AV65" s="7" t="n"/>
      <c r="BB65" s="7" t="n"/>
      <c r="BC65" s="7" t="n"/>
      <c r="BI65" s="7" t="n"/>
      <c r="BJ65" s="7" t="n"/>
      <c r="BP65" s="7" t="n"/>
      <c r="BQ65" s="7" t="n"/>
      <c r="BW65" s="7" t="n"/>
      <c r="BX65" s="7" t="n"/>
    </row>
    <row r="66">
      <c r="A66" t="inlineStr">
        <is>
          <t>ANGI-78</t>
        </is>
      </c>
      <c r="B66" s="8" t="inlineStr">
        <is>
          <t>[BE] F-18 Roll Dish</t>
        </is>
      </c>
      <c r="C66" t="inlineStr">
        <is>
          <t>Trọng</t>
        </is>
      </c>
      <c r="D66" t="inlineStr">
        <is>
          <t>18/10/2026</t>
        </is>
      </c>
      <c r="E66" t="inlineStr">
        <is>
          <t>19/10/2026</t>
        </is>
      </c>
      <c r="F66" t="n">
        <v>0.6</v>
      </c>
      <c r="L66" s="7" t="n"/>
      <c r="M66" s="7" t="n"/>
      <c r="S66" s="7" t="n"/>
      <c r="T66" s="9" t="n"/>
      <c r="U66" s="9" t="n"/>
      <c r="Z66" s="7" t="n"/>
      <c r="AA66" s="7" t="n"/>
      <c r="AG66" s="7" t="n"/>
      <c r="AH66" s="7" t="n"/>
      <c r="AN66" s="7" t="n"/>
      <c r="AO66" s="7" t="n"/>
      <c r="AU66" s="7" t="n"/>
      <c r="AV66" s="7" t="n"/>
      <c r="BB66" s="7" t="n"/>
      <c r="BC66" s="7" t="n"/>
      <c r="BI66" s="7" t="n"/>
      <c r="BJ66" s="7" t="n"/>
      <c r="BP66" s="7" t="n"/>
      <c r="BQ66" s="7" t="n"/>
      <c r="BW66" s="7" t="n"/>
      <c r="BX66" s="7" t="n"/>
    </row>
    <row r="67">
      <c r="A67" t="inlineStr">
        <is>
          <t>ANGI-79</t>
        </is>
      </c>
      <c r="B67" t="inlineStr">
        <is>
          <t>[FE] F-11 View Home Page</t>
        </is>
      </c>
      <c r="C67" t="inlineStr">
        <is>
          <t>Đức</t>
        </is>
      </c>
      <c r="D67" t="inlineStr">
        <is>
          <t>18/10/2026</t>
        </is>
      </c>
      <c r="E67" t="inlineStr">
        <is>
          <t>19/10/2026</t>
        </is>
      </c>
      <c r="F67" t="n">
        <v>2.9</v>
      </c>
      <c r="L67" s="7" t="n"/>
      <c r="M67" s="7" t="n"/>
      <c r="S67" s="7" t="n"/>
      <c r="T67" s="6" t="n"/>
      <c r="U67" s="6" t="n"/>
      <c r="Z67" s="7" t="n"/>
      <c r="AA67" s="7" t="n"/>
      <c r="AG67" s="7" t="n"/>
      <c r="AH67" s="7" t="n"/>
      <c r="AN67" s="7" t="n"/>
      <c r="AO67" s="7" t="n"/>
      <c r="AU67" s="7" t="n"/>
      <c r="AV67" s="7" t="n"/>
      <c r="BB67" s="7" t="n"/>
      <c r="BC67" s="7" t="n"/>
      <c r="BI67" s="7" t="n"/>
      <c r="BJ67" s="7" t="n"/>
      <c r="BP67" s="7" t="n"/>
      <c r="BQ67" s="7" t="n"/>
      <c r="BW67" s="7" t="n"/>
      <c r="BX67" s="7" t="n"/>
    </row>
    <row r="68">
      <c r="A68" t="inlineStr">
        <is>
          <t>ANGI-80</t>
        </is>
      </c>
      <c r="B68" t="inlineStr">
        <is>
          <t>[FE] F-50 Manage Restaurant Menu</t>
        </is>
      </c>
      <c r="C68" t="inlineStr">
        <is>
          <t>Tuấn</t>
        </is>
      </c>
      <c r="D68" t="inlineStr">
        <is>
          <t>18/10/2026</t>
        </is>
      </c>
      <c r="E68" t="inlineStr">
        <is>
          <t>20/10/2026</t>
        </is>
      </c>
      <c r="F68" t="n">
        <v>1.8</v>
      </c>
      <c r="L68" s="7" t="n"/>
      <c r="M68" s="7" t="n"/>
      <c r="S68" s="7" t="n"/>
      <c r="T68" s="6" t="n"/>
      <c r="U68" s="6" t="n"/>
      <c r="V68" s="6" t="n"/>
      <c r="Z68" s="7" t="n"/>
      <c r="AA68" s="7" t="n"/>
      <c r="AG68" s="7" t="n"/>
      <c r="AH68" s="7" t="n"/>
      <c r="AN68" s="7" t="n"/>
      <c r="AO68" s="7" t="n"/>
      <c r="AU68" s="7" t="n"/>
      <c r="AV68" s="7" t="n"/>
      <c r="BB68" s="7" t="n"/>
      <c r="BC68" s="7" t="n"/>
      <c r="BI68" s="7" t="n"/>
      <c r="BJ68" s="7" t="n"/>
      <c r="BP68" s="7" t="n"/>
      <c r="BQ68" s="7" t="n"/>
      <c r="BW68" s="7" t="n"/>
      <c r="BX68" s="7" t="n"/>
    </row>
    <row r="69">
      <c r="A69" t="inlineStr">
        <is>
          <t>ANGI-81</t>
        </is>
      </c>
      <c r="B69" t="inlineStr">
        <is>
          <t>[FE] F-05 Forgot Password</t>
        </is>
      </c>
      <c r="C69" t="inlineStr">
        <is>
          <t>Đức</t>
        </is>
      </c>
      <c r="D69" t="inlineStr">
        <is>
          <t>19/10/2026</t>
        </is>
      </c>
      <c r="E69" t="inlineStr">
        <is>
          <t>19/10/2026</t>
        </is>
      </c>
      <c r="F69" t="n">
        <v>2.6</v>
      </c>
      <c r="L69" s="7" t="n"/>
      <c r="M69" s="7" t="n"/>
      <c r="S69" s="7" t="n"/>
      <c r="T69" s="7" t="n"/>
      <c r="U69" s="6" t="n"/>
      <c r="Z69" s="7" t="n"/>
      <c r="AA69" s="7" t="n"/>
      <c r="AG69" s="7" t="n"/>
      <c r="AH69" s="7" t="n"/>
      <c r="AN69" s="7" t="n"/>
      <c r="AO69" s="7" t="n"/>
      <c r="AU69" s="7" t="n"/>
      <c r="AV69" s="7" t="n"/>
      <c r="BB69" s="7" t="n"/>
      <c r="BC69" s="7" t="n"/>
      <c r="BI69" s="7" t="n"/>
      <c r="BJ69" s="7" t="n"/>
      <c r="BP69" s="7" t="n"/>
      <c r="BQ69" s="7" t="n"/>
      <c r="BW69" s="7" t="n"/>
      <c r="BX69" s="7" t="n"/>
    </row>
    <row r="70">
      <c r="A70" t="inlineStr">
        <is>
          <t>ANGI-82</t>
        </is>
      </c>
      <c r="B70" t="inlineStr">
        <is>
          <t>[FE] F-06 Reset Password</t>
        </is>
      </c>
      <c r="C70" t="inlineStr">
        <is>
          <t>Đức</t>
        </is>
      </c>
      <c r="D70" t="inlineStr">
        <is>
          <t>19/10/2026</t>
        </is>
      </c>
      <c r="E70" t="inlineStr">
        <is>
          <t>19/10/2026</t>
        </is>
      </c>
      <c r="F70" t="n">
        <v>2.3</v>
      </c>
      <c r="L70" s="7" t="n"/>
      <c r="M70" s="7" t="n"/>
      <c r="S70" s="7" t="n"/>
      <c r="T70" s="7" t="n"/>
      <c r="U70" s="6" t="n"/>
      <c r="Z70" s="7" t="n"/>
      <c r="AA70" s="7" t="n"/>
      <c r="AG70" s="7" t="n"/>
      <c r="AH70" s="7" t="n"/>
      <c r="AN70" s="7" t="n"/>
      <c r="AO70" s="7" t="n"/>
      <c r="AU70" s="7" t="n"/>
      <c r="AV70" s="7" t="n"/>
      <c r="BB70" s="7" t="n"/>
      <c r="BC70" s="7" t="n"/>
      <c r="BI70" s="7" t="n"/>
      <c r="BJ70" s="7" t="n"/>
      <c r="BP70" s="7" t="n"/>
      <c r="BQ70" s="7" t="n"/>
      <c r="BW70" s="7" t="n"/>
      <c r="BX70" s="7" t="n"/>
    </row>
    <row r="71">
      <c r="A71" t="inlineStr">
        <is>
          <t>ANGI-230</t>
        </is>
      </c>
      <c r="B71" s="8" t="inlineStr">
        <is>
          <t>Shared service: Mapbox client (IRouteService) cho route theo ngày của roadmap</t>
        </is>
      </c>
      <c r="C71" t="inlineStr">
        <is>
          <t>Hưng</t>
        </is>
      </c>
      <c r="D71" t="inlineStr">
        <is>
          <t>19/10/2026</t>
        </is>
      </c>
      <c r="E71" t="inlineStr">
        <is>
          <t>20/10/2026</t>
        </is>
      </c>
      <c r="F71" t="n">
        <v>1</v>
      </c>
      <c r="L71" s="7" t="n"/>
      <c r="M71" s="7" t="n"/>
      <c r="S71" s="7" t="n"/>
      <c r="T71" s="7" t="n"/>
      <c r="U71" s="9" t="n"/>
      <c r="V71" s="9" t="n"/>
      <c r="Z71" s="7" t="n"/>
      <c r="AA71" s="7" t="n"/>
      <c r="AG71" s="7" t="n"/>
      <c r="AH71" s="7" t="n"/>
      <c r="AN71" s="7" t="n"/>
      <c r="AO71" s="7" t="n"/>
      <c r="AU71" s="7" t="n"/>
      <c r="AV71" s="7" t="n"/>
      <c r="BB71" s="7" t="n"/>
      <c r="BC71" s="7" t="n"/>
      <c r="BI71" s="7" t="n"/>
      <c r="BJ71" s="7" t="n"/>
      <c r="BP71" s="7" t="n"/>
      <c r="BQ71" s="7" t="n"/>
      <c r="BW71" s="7" t="n"/>
      <c r="BX71" s="7" t="n"/>
    </row>
    <row r="72">
      <c r="A72" t="inlineStr">
        <is>
          <t>ANGI-83</t>
        </is>
      </c>
      <c r="B72" t="inlineStr">
        <is>
          <t>[FE] F-04 Login with Google</t>
        </is>
      </c>
      <c r="C72" t="inlineStr">
        <is>
          <t>Đức</t>
        </is>
      </c>
      <c r="D72" t="inlineStr">
        <is>
          <t>19/10/2026</t>
        </is>
      </c>
      <c r="E72" t="inlineStr">
        <is>
          <t>20/10/2026</t>
        </is>
      </c>
      <c r="F72" t="n">
        <v>1.6</v>
      </c>
      <c r="L72" s="7" t="n"/>
      <c r="M72" s="7" t="n"/>
      <c r="S72" s="7" t="n"/>
      <c r="T72" s="7" t="n"/>
      <c r="U72" s="6" t="n"/>
      <c r="V72" s="6" t="n"/>
      <c r="Z72" s="7" t="n"/>
      <c r="AA72" s="7" t="n"/>
      <c r="AG72" s="7" t="n"/>
      <c r="AH72" s="7" t="n"/>
      <c r="AN72" s="7" t="n"/>
      <c r="AO72" s="7" t="n"/>
      <c r="AU72" s="7" t="n"/>
      <c r="AV72" s="7" t="n"/>
      <c r="BB72" s="7" t="n"/>
      <c r="BC72" s="7" t="n"/>
      <c r="BI72" s="7" t="n"/>
      <c r="BJ72" s="7" t="n"/>
      <c r="BP72" s="7" t="n"/>
      <c r="BQ72" s="7" t="n"/>
      <c r="BW72" s="7" t="n"/>
      <c r="BX72" s="7" t="n"/>
    </row>
    <row r="73">
      <c r="A73" t="inlineStr">
        <is>
          <t>ANGI-84</t>
        </is>
      </c>
      <c r="B73" t="inlineStr">
        <is>
          <t>Deploy staging lần đầu (Render + Vercel) từ nhánh dev</t>
        </is>
      </c>
      <c r="C73" t="inlineStr">
        <is>
          <t>Dũng</t>
        </is>
      </c>
      <c r="D73" t="inlineStr">
        <is>
          <t>19/10/2026</t>
        </is>
      </c>
      <c r="E73" t="inlineStr">
        <is>
          <t>20/10/2026</t>
        </is>
      </c>
      <c r="F73" t="n">
        <v>4</v>
      </c>
      <c r="L73" s="7" t="n"/>
      <c r="M73" s="7" t="n"/>
      <c r="S73" s="7" t="n"/>
      <c r="T73" s="7" t="n"/>
      <c r="U73" s="6" t="n"/>
      <c r="V73" s="6" t="n"/>
      <c r="Z73" s="7" t="n"/>
      <c r="AA73" s="7" t="n"/>
      <c r="AG73" s="7" t="n"/>
      <c r="AH73" s="7" t="n"/>
      <c r="AN73" s="7" t="n"/>
      <c r="AO73" s="7" t="n"/>
      <c r="AU73" s="7" t="n"/>
      <c r="AV73" s="7" t="n"/>
      <c r="BB73" s="7" t="n"/>
      <c r="BC73" s="7" t="n"/>
      <c r="BI73" s="7" t="n"/>
      <c r="BJ73" s="7" t="n"/>
      <c r="BP73" s="7" t="n"/>
      <c r="BQ73" s="7" t="n"/>
      <c r="BW73" s="7" t="n"/>
      <c r="BX73" s="7" t="n"/>
    </row>
    <row r="74">
      <c r="A74" t="inlineStr">
        <is>
          <t>ANGI-85</t>
        </is>
      </c>
      <c r="B74" s="8" t="inlineStr">
        <is>
          <t>[FE] F-18 Roll Dish</t>
        </is>
      </c>
      <c r="C74" t="inlineStr">
        <is>
          <t>Đức</t>
        </is>
      </c>
      <c r="D74" t="inlineStr">
        <is>
          <t>20/10/2026</t>
        </is>
      </c>
      <c r="E74" t="inlineStr">
        <is>
          <t>20/10/2026</t>
        </is>
      </c>
      <c r="F74" t="n">
        <v>1</v>
      </c>
      <c r="L74" s="7" t="n"/>
      <c r="M74" s="7" t="n"/>
      <c r="S74" s="7" t="n"/>
      <c r="T74" s="7" t="n"/>
      <c r="V74" s="9" t="n"/>
      <c r="Z74" s="7" t="n"/>
      <c r="AA74" s="7" t="n"/>
      <c r="AG74" s="7" t="n"/>
      <c r="AH74" s="7" t="n"/>
      <c r="AN74" s="7" t="n"/>
      <c r="AO74" s="7" t="n"/>
      <c r="AU74" s="7" t="n"/>
      <c r="AV74" s="7" t="n"/>
      <c r="BB74" s="7" t="n"/>
      <c r="BC74" s="7" t="n"/>
      <c r="BI74" s="7" t="n"/>
      <c r="BJ74" s="7" t="n"/>
      <c r="BP74" s="7" t="n"/>
      <c r="BQ74" s="7" t="n"/>
      <c r="BW74" s="7" t="n"/>
      <c r="BX74" s="7" t="n"/>
    </row>
    <row r="75">
      <c r="A75" t="inlineStr">
        <is>
          <t>ANGI-86</t>
        </is>
      </c>
      <c r="B75" s="8" t="inlineStr">
        <is>
          <t>[FE] F-51 Submit Menu for Approval</t>
        </is>
      </c>
      <c r="C75" t="inlineStr">
        <is>
          <t>Tuấn</t>
        </is>
      </c>
      <c r="D75" t="inlineStr">
        <is>
          <t>20/10/2026</t>
        </is>
      </c>
      <c r="E75" t="inlineStr">
        <is>
          <t>20/10/2026</t>
        </is>
      </c>
      <c r="F75" t="n">
        <v>1</v>
      </c>
      <c r="L75" s="7" t="n"/>
      <c r="M75" s="7" t="n"/>
      <c r="S75" s="7" t="n"/>
      <c r="T75" s="7" t="n"/>
      <c r="V75" s="9" t="n"/>
      <c r="Z75" s="7" t="n"/>
      <c r="AA75" s="7" t="n"/>
      <c r="AG75" s="7" t="n"/>
      <c r="AH75" s="7" t="n"/>
      <c r="AN75" s="7" t="n"/>
      <c r="AO75" s="7" t="n"/>
      <c r="AU75" s="7" t="n"/>
      <c r="AV75" s="7" t="n"/>
      <c r="BB75" s="7" t="n"/>
      <c r="BC75" s="7" t="n"/>
      <c r="BI75" s="7" t="n"/>
      <c r="BJ75" s="7" t="n"/>
      <c r="BP75" s="7" t="n"/>
      <c r="BQ75" s="7" t="n"/>
      <c r="BW75" s="7" t="n"/>
      <c r="BX75" s="7" t="n"/>
    </row>
    <row r="76">
      <c r="A76" t="inlineStr">
        <is>
          <t>ANGI-87</t>
        </is>
      </c>
      <c r="B76" t="inlineStr">
        <is>
          <t>Unit Testing Report Iteration 1</t>
        </is>
      </c>
      <c r="C76" t="inlineStr">
        <is>
          <t>Trọng</t>
        </is>
      </c>
      <c r="D76" t="inlineStr">
        <is>
          <t>20/10/2026</t>
        </is>
      </c>
      <c r="E76" t="inlineStr">
        <is>
          <t>20/10/2026</t>
        </is>
      </c>
      <c r="F76" t="n">
        <v>54</v>
      </c>
      <c r="L76" s="7" t="n"/>
      <c r="M76" s="7" t="n"/>
      <c r="S76" s="7" t="n"/>
      <c r="T76" s="7" t="n"/>
      <c r="V76" s="6" t="n"/>
      <c r="Z76" s="7" t="n"/>
      <c r="AA76" s="7" t="n"/>
      <c r="AG76" s="7" t="n"/>
      <c r="AH76" s="7" t="n"/>
      <c r="AN76" s="7" t="n"/>
      <c r="AO76" s="7" t="n"/>
      <c r="AU76" s="7" t="n"/>
      <c r="AV76" s="7" t="n"/>
      <c r="BB76" s="7" t="n"/>
      <c r="BC76" s="7" t="n"/>
      <c r="BI76" s="7" t="n"/>
      <c r="BJ76" s="7" t="n"/>
      <c r="BP76" s="7" t="n"/>
      <c r="BQ76" s="7" t="n"/>
      <c r="BW76" s="7" t="n"/>
      <c r="BX76" s="7" t="n"/>
    </row>
    <row r="77">
      <c r="A77" t="inlineStr">
        <is>
          <t>ANGI-88</t>
        </is>
      </c>
      <c r="B77" s="8" t="inlineStr">
        <is>
          <t>Report 5: Integration Test Cases Iteration 1</t>
        </is>
      </c>
      <c r="C77" t="inlineStr">
        <is>
          <t>Đức</t>
        </is>
      </c>
      <c r="D77" t="inlineStr">
        <is>
          <t>20/10/2026</t>
        </is>
      </c>
      <c r="E77" t="inlineStr">
        <is>
          <t>21/10/2026</t>
        </is>
      </c>
      <c r="F77" t="n">
        <v>1</v>
      </c>
      <c r="L77" s="7" t="n"/>
      <c r="M77" s="7" t="n"/>
      <c r="S77" s="7" t="n"/>
      <c r="T77" s="7" t="n"/>
      <c r="V77" s="9" t="n"/>
      <c r="W77" s="9" t="n"/>
      <c r="Z77" s="7" t="n"/>
      <c r="AA77" s="7" t="n"/>
      <c r="AG77" s="7" t="n"/>
      <c r="AH77" s="7" t="n"/>
      <c r="AN77" s="7" t="n"/>
      <c r="AO77" s="7" t="n"/>
      <c r="AU77" s="7" t="n"/>
      <c r="AV77" s="7" t="n"/>
      <c r="BB77" s="7" t="n"/>
      <c r="BC77" s="7" t="n"/>
      <c r="BI77" s="7" t="n"/>
      <c r="BJ77" s="7" t="n"/>
      <c r="BP77" s="7" t="n"/>
      <c r="BQ77" s="7" t="n"/>
      <c r="BW77" s="7" t="n"/>
      <c r="BX77" s="7" t="n"/>
    </row>
    <row r="78">
      <c r="A78" t="inlineStr">
        <is>
          <t>ANGI-89</t>
        </is>
      </c>
      <c r="B78" s="8" t="inlineStr">
        <is>
          <t>Code freeze + tích hợp Iteration 1: merge PR vào dev, chạy toàn hệ thống</t>
        </is>
      </c>
      <c r="C78" t="inlineStr">
        <is>
          <t>Dũng</t>
        </is>
      </c>
      <c r="D78" t="inlineStr">
        <is>
          <t>21/10/2026</t>
        </is>
      </c>
      <c r="E78" t="inlineStr">
        <is>
          <t>21/10/2026</t>
        </is>
      </c>
      <c r="F78" t="n">
        <v>1</v>
      </c>
      <c r="L78" s="7" t="n"/>
      <c r="M78" s="7" t="n"/>
      <c r="S78" s="7" t="n"/>
      <c r="T78" s="7" t="n"/>
      <c r="W78" s="9" t="n"/>
      <c r="Z78" s="7" t="n"/>
      <c r="AA78" s="7" t="n"/>
      <c r="AG78" s="7" t="n"/>
      <c r="AH78" s="7" t="n"/>
      <c r="AN78" s="7" t="n"/>
      <c r="AO78" s="7" t="n"/>
      <c r="AU78" s="7" t="n"/>
      <c r="AV78" s="7" t="n"/>
      <c r="BB78" s="7" t="n"/>
      <c r="BC78" s="7" t="n"/>
      <c r="BI78" s="7" t="n"/>
      <c r="BJ78" s="7" t="n"/>
      <c r="BP78" s="7" t="n"/>
      <c r="BQ78" s="7" t="n"/>
      <c r="BW78" s="7" t="n"/>
      <c r="BX78" s="7" t="n"/>
    </row>
    <row r="79">
      <c r="A79" t="inlineStr">
        <is>
          <t>ANGI-90</t>
        </is>
      </c>
      <c r="B79" s="8" t="inlineStr">
        <is>
          <t>Report 5: Integration Test Report Iteration 1</t>
        </is>
      </c>
      <c r="C79" t="inlineStr">
        <is>
          <t>Trọng</t>
        </is>
      </c>
      <c r="D79" t="inlineStr">
        <is>
          <t>22/10/2026</t>
        </is>
      </c>
      <c r="E79" t="inlineStr">
        <is>
          <t>23/10/2026</t>
        </is>
      </c>
      <c r="F79" t="n">
        <v>1</v>
      </c>
      <c r="L79" s="7" t="n"/>
      <c r="M79" s="7" t="n"/>
      <c r="S79" s="7" t="n"/>
      <c r="T79" s="7" t="n"/>
      <c r="X79" s="9" t="n"/>
      <c r="Y79" s="9" t="n"/>
      <c r="Z79" s="7" t="n"/>
      <c r="AA79" s="7" t="n"/>
      <c r="AG79" s="7" t="n"/>
      <c r="AH79" s="7" t="n"/>
      <c r="AN79" s="7" t="n"/>
      <c r="AO79" s="7" t="n"/>
      <c r="AU79" s="7" t="n"/>
      <c r="AV79" s="7" t="n"/>
      <c r="BB79" s="7" t="n"/>
      <c r="BC79" s="7" t="n"/>
      <c r="BI79" s="7" t="n"/>
      <c r="BJ79" s="7" t="n"/>
      <c r="BP79" s="7" t="n"/>
      <c r="BQ79" s="7" t="n"/>
      <c r="BW79" s="7" t="n"/>
      <c r="BX79" s="7" t="n"/>
    </row>
    <row r="80">
      <c r="A80" t="inlineStr">
        <is>
          <t>ANGI-91</t>
        </is>
      </c>
      <c r="B80" s="8" t="inlineStr">
        <is>
          <t>Fix bug integration test Iteration 1 (backend)</t>
        </is>
      </c>
      <c r="C80" t="inlineStr">
        <is>
          <t>Hưng</t>
        </is>
      </c>
      <c r="D80" t="inlineStr">
        <is>
          <t>22/10/2026</t>
        </is>
      </c>
      <c r="E80" t="inlineStr">
        <is>
          <t>24/10/2026</t>
        </is>
      </c>
      <c r="F80" t="n">
        <v>0</v>
      </c>
      <c r="L80" s="7" t="n"/>
      <c r="M80" s="7" t="n"/>
      <c r="S80" s="7" t="n"/>
      <c r="T80" s="7" t="n"/>
      <c r="X80" s="9" t="n"/>
      <c r="Y80" s="9" t="n"/>
      <c r="Z80" s="9" t="n"/>
      <c r="AA80" s="7" t="n"/>
      <c r="AG80" s="7" t="n"/>
      <c r="AH80" s="7" t="n"/>
      <c r="AN80" s="7" t="n"/>
      <c r="AO80" s="7" t="n"/>
      <c r="AU80" s="7" t="n"/>
      <c r="AV80" s="7" t="n"/>
      <c r="BB80" s="7" t="n"/>
      <c r="BC80" s="7" t="n"/>
      <c r="BI80" s="7" t="n"/>
      <c r="BJ80" s="7" t="n"/>
      <c r="BP80" s="7" t="n"/>
      <c r="BQ80" s="7" t="n"/>
      <c r="BW80" s="7" t="n"/>
      <c r="BX80" s="7" t="n"/>
    </row>
    <row r="81">
      <c r="A81" t="inlineStr">
        <is>
          <t>ANGI-92</t>
        </is>
      </c>
      <c r="B81" s="8" t="inlineStr">
        <is>
          <t>Fix bug integration test Iteration 1 (backend)</t>
        </is>
      </c>
      <c r="C81" t="inlineStr">
        <is>
          <t>Trọng</t>
        </is>
      </c>
      <c r="D81" t="inlineStr">
        <is>
          <t>22/10/2026</t>
        </is>
      </c>
      <c r="E81" t="inlineStr">
        <is>
          <t>24/10/2026</t>
        </is>
      </c>
      <c r="F81" t="n">
        <v>0</v>
      </c>
      <c r="L81" s="7" t="n"/>
      <c r="M81" s="7" t="n"/>
      <c r="S81" s="7" t="n"/>
      <c r="T81" s="7" t="n"/>
      <c r="X81" s="9" t="n"/>
      <c r="Y81" s="9" t="n"/>
      <c r="Z81" s="9" t="n"/>
      <c r="AA81" s="7" t="n"/>
      <c r="AG81" s="7" t="n"/>
      <c r="AH81" s="7" t="n"/>
      <c r="AN81" s="7" t="n"/>
      <c r="AO81" s="7" t="n"/>
      <c r="AU81" s="7" t="n"/>
      <c r="AV81" s="7" t="n"/>
      <c r="BB81" s="7" t="n"/>
      <c r="BC81" s="7" t="n"/>
      <c r="BI81" s="7" t="n"/>
      <c r="BJ81" s="7" t="n"/>
      <c r="BP81" s="7" t="n"/>
      <c r="BQ81" s="7" t="n"/>
      <c r="BW81" s="7" t="n"/>
      <c r="BX81" s="7" t="n"/>
    </row>
    <row r="82">
      <c r="A82" t="inlineStr">
        <is>
          <t>ANGI-93</t>
        </is>
      </c>
      <c r="B82" s="8" t="inlineStr">
        <is>
          <t>Fix bug integration test Iteration 1 (frontend)</t>
        </is>
      </c>
      <c r="C82" t="inlineStr">
        <is>
          <t>Tuấn</t>
        </is>
      </c>
      <c r="D82" t="inlineStr">
        <is>
          <t>22/10/2026</t>
        </is>
      </c>
      <c r="E82" t="inlineStr">
        <is>
          <t>24/10/2026</t>
        </is>
      </c>
      <c r="F82" t="n">
        <v>0</v>
      </c>
      <c r="L82" s="7" t="n"/>
      <c r="M82" s="7" t="n"/>
      <c r="S82" s="7" t="n"/>
      <c r="T82" s="7" t="n"/>
      <c r="X82" s="9" t="n"/>
      <c r="Y82" s="9" t="n"/>
      <c r="Z82" s="9" t="n"/>
      <c r="AA82" s="7" t="n"/>
      <c r="AG82" s="7" t="n"/>
      <c r="AH82" s="7" t="n"/>
      <c r="AN82" s="7" t="n"/>
      <c r="AO82" s="7" t="n"/>
      <c r="AU82" s="7" t="n"/>
      <c r="AV82" s="7" t="n"/>
      <c r="BB82" s="7" t="n"/>
      <c r="BC82" s="7" t="n"/>
      <c r="BI82" s="7" t="n"/>
      <c r="BJ82" s="7" t="n"/>
      <c r="BP82" s="7" t="n"/>
      <c r="BQ82" s="7" t="n"/>
      <c r="BW82" s="7" t="n"/>
      <c r="BX82" s="7" t="n"/>
    </row>
    <row r="83">
      <c r="A83" t="inlineStr">
        <is>
          <t>ANGI-94</t>
        </is>
      </c>
      <c r="B83" s="8" t="inlineStr">
        <is>
          <t>Fix bug integration test Iteration 1 (frontend)</t>
        </is>
      </c>
      <c r="C83" t="inlineStr">
        <is>
          <t>Đức</t>
        </is>
      </c>
      <c r="D83" t="inlineStr">
        <is>
          <t>22/10/2026</t>
        </is>
      </c>
      <c r="E83" t="inlineStr">
        <is>
          <t>24/10/2026</t>
        </is>
      </c>
      <c r="F83" t="n">
        <v>0</v>
      </c>
      <c r="L83" s="7" t="n"/>
      <c r="M83" s="7" t="n"/>
      <c r="S83" s="7" t="n"/>
      <c r="T83" s="7" t="n"/>
      <c r="X83" s="9" t="n"/>
      <c r="Y83" s="9" t="n"/>
      <c r="Z83" s="9" t="n"/>
      <c r="AA83" s="7" t="n"/>
      <c r="AG83" s="7" t="n"/>
      <c r="AH83" s="7" t="n"/>
      <c r="AN83" s="7" t="n"/>
      <c r="AO83" s="7" t="n"/>
      <c r="AU83" s="7" t="n"/>
      <c r="AV83" s="7" t="n"/>
      <c r="BB83" s="7" t="n"/>
      <c r="BC83" s="7" t="n"/>
      <c r="BI83" s="7" t="n"/>
      <c r="BJ83" s="7" t="n"/>
      <c r="BP83" s="7" t="n"/>
      <c r="BQ83" s="7" t="n"/>
      <c r="BW83" s="7" t="n"/>
      <c r="BX83" s="7" t="n"/>
    </row>
    <row r="84">
      <c r="A84" t="inlineStr">
        <is>
          <t>ANGI-95</t>
        </is>
      </c>
      <c r="B84" s="8" t="inlineStr">
        <is>
          <t>Fix bug integration test Iteration 1 (reco + hạ tầng)</t>
        </is>
      </c>
      <c r="C84" t="inlineStr">
        <is>
          <t>Dũng</t>
        </is>
      </c>
      <c r="D84" t="inlineStr">
        <is>
          <t>22/10/2026</t>
        </is>
      </c>
      <c r="E84" t="inlineStr">
        <is>
          <t>24/10/2026</t>
        </is>
      </c>
      <c r="F84" t="n">
        <v>0</v>
      </c>
      <c r="L84" s="7" t="n"/>
      <c r="M84" s="7" t="n"/>
      <c r="S84" s="7" t="n"/>
      <c r="T84" s="7" t="n"/>
      <c r="X84" s="9" t="n"/>
      <c r="Y84" s="9" t="n"/>
      <c r="Z84" s="9" t="n"/>
      <c r="AA84" s="7" t="n"/>
      <c r="AG84" s="7" t="n"/>
      <c r="AH84" s="7" t="n"/>
      <c r="AN84" s="7" t="n"/>
      <c r="AO84" s="7" t="n"/>
      <c r="AU84" s="7" t="n"/>
      <c r="AV84" s="7" t="n"/>
      <c r="BB84" s="7" t="n"/>
      <c r="BC84" s="7" t="n"/>
      <c r="BI84" s="7" t="n"/>
      <c r="BJ84" s="7" t="n"/>
      <c r="BP84" s="7" t="n"/>
      <c r="BQ84" s="7" t="n"/>
      <c r="BW84" s="7" t="n"/>
      <c r="BX84" s="7" t="n"/>
    </row>
    <row r="85">
      <c r="A85" t="inlineStr">
        <is>
          <t>ANGI-96</t>
        </is>
      </c>
      <c r="B85" t="inlineStr">
        <is>
          <t>Wireframe/mockup các màn hình Iteration 2</t>
        </is>
      </c>
      <c r="C85" t="inlineStr">
        <is>
          <t>Đức</t>
        </is>
      </c>
      <c r="D85" t="inlineStr">
        <is>
          <t>22/10/2026</t>
        </is>
      </c>
      <c r="E85" t="inlineStr">
        <is>
          <t>25/10/2026</t>
        </is>
      </c>
      <c r="F85" t="n">
        <v>8.5</v>
      </c>
      <c r="L85" s="7" t="n"/>
      <c r="M85" s="7" t="n"/>
      <c r="S85" s="7" t="n"/>
      <c r="T85" s="7" t="n"/>
      <c r="X85" s="6" t="n"/>
      <c r="Y85" s="6" t="n"/>
      <c r="Z85" s="6" t="n"/>
      <c r="AA85" s="6" t="n"/>
      <c r="AG85" s="7" t="n"/>
      <c r="AH85" s="7" t="n"/>
      <c r="AN85" s="7" t="n"/>
      <c r="AO85" s="7" t="n"/>
      <c r="AU85" s="7" t="n"/>
      <c r="AV85" s="7" t="n"/>
      <c r="BB85" s="7" t="n"/>
      <c r="BC85" s="7" t="n"/>
      <c r="BI85" s="7" t="n"/>
      <c r="BJ85" s="7" t="n"/>
      <c r="BP85" s="7" t="n"/>
      <c r="BQ85" s="7" t="n"/>
      <c r="BW85" s="7" t="n"/>
      <c r="BX85" s="7" t="n"/>
    </row>
    <row r="86">
      <c r="A86" t="inlineStr">
        <is>
          <t>ANGI-97</t>
        </is>
      </c>
      <c r="B86" t="inlineStr">
        <is>
          <t>Report 3: SRS v1.1 (Detailed Requirements Iteration 2)</t>
        </is>
      </c>
      <c r="C86" t="inlineStr">
        <is>
          <t>Dũng</t>
        </is>
      </c>
      <c r="D86" t="inlineStr">
        <is>
          <t>23/10/2026</t>
        </is>
      </c>
      <c r="E86" t="inlineStr">
        <is>
          <t>24/10/2026</t>
        </is>
      </c>
      <c r="F86" t="n">
        <v>50</v>
      </c>
      <c r="L86" s="7" t="n"/>
      <c r="M86" s="7" t="n"/>
      <c r="S86" s="7" t="n"/>
      <c r="T86" s="7" t="n"/>
      <c r="Y86" s="6" t="n"/>
      <c r="Z86" s="6" t="n"/>
      <c r="AA86" s="7" t="n"/>
      <c r="AG86" s="7" t="n"/>
      <c r="AH86" s="7" t="n"/>
      <c r="AN86" s="7" t="n"/>
      <c r="AO86" s="7" t="n"/>
      <c r="AU86" s="7" t="n"/>
      <c r="AV86" s="7" t="n"/>
      <c r="BB86" s="7" t="n"/>
      <c r="BC86" s="7" t="n"/>
      <c r="BI86" s="7" t="n"/>
      <c r="BJ86" s="7" t="n"/>
      <c r="BP86" s="7" t="n"/>
      <c r="BQ86" s="7" t="n"/>
      <c r="BW86" s="7" t="n"/>
      <c r="BX86" s="7" t="n"/>
    </row>
    <row r="87">
      <c r="A87" t="inlineStr">
        <is>
          <t>ANGI-98</t>
        </is>
      </c>
      <c r="B87" s="8" t="inlineStr">
        <is>
          <t>Software Package Version 1 (deploy + release note)</t>
        </is>
      </c>
      <c r="C87" t="inlineStr">
        <is>
          <t>Dũng</t>
        </is>
      </c>
      <c r="D87" t="inlineStr">
        <is>
          <t>25/10/2026</t>
        </is>
      </c>
      <c r="E87" t="inlineStr">
        <is>
          <t>25/10/2026</t>
        </is>
      </c>
      <c r="F87" t="n">
        <v>0</v>
      </c>
      <c r="L87" s="7" t="n"/>
      <c r="M87" s="7" t="n"/>
      <c r="S87" s="7" t="n"/>
      <c r="T87" s="7" t="n"/>
      <c r="Z87" s="7" t="n"/>
      <c r="AA87" s="9" t="n"/>
      <c r="AG87" s="7" t="n"/>
      <c r="AH87" s="7" t="n"/>
      <c r="AN87" s="7" t="n"/>
      <c r="AO87" s="7" t="n"/>
      <c r="AU87" s="7" t="n"/>
      <c r="AV87" s="7" t="n"/>
      <c r="BB87" s="7" t="n"/>
      <c r="BC87" s="7" t="n"/>
      <c r="BI87" s="7" t="n"/>
      <c r="BJ87" s="7" t="n"/>
      <c r="BP87" s="7" t="n"/>
      <c r="BQ87" s="7" t="n"/>
      <c r="BW87" s="7" t="n"/>
      <c r="BX87" s="7" t="n"/>
    </row>
    <row r="88">
      <c r="A88" t="inlineStr">
        <is>
          <t>ANGI-99</t>
        </is>
      </c>
      <c r="B88" t="inlineStr">
        <is>
          <t>[BE] F-09 View Notifications</t>
        </is>
      </c>
      <c r="C88" t="inlineStr">
        <is>
          <t>Trọng</t>
        </is>
      </c>
      <c r="D88" t="inlineStr">
        <is>
          <t>26/10/2026</t>
        </is>
      </c>
      <c r="E88" t="inlineStr">
        <is>
          <t>26/10/2026</t>
        </is>
      </c>
      <c r="F88" t="n">
        <v>7.5</v>
      </c>
      <c r="L88" s="7" t="n"/>
      <c r="M88" s="7" t="n"/>
      <c r="S88" s="7" t="n"/>
      <c r="T88" s="7" t="n"/>
      <c r="Z88" s="7" t="n"/>
      <c r="AA88" s="7" t="n"/>
      <c r="AB88" s="6" t="n"/>
      <c r="AG88" s="7" t="n"/>
      <c r="AH88" s="7" t="n"/>
      <c r="AN88" s="7" t="n"/>
      <c r="AO88" s="7" t="n"/>
      <c r="AU88" s="7" t="n"/>
      <c r="AV88" s="7" t="n"/>
      <c r="BB88" s="7" t="n"/>
      <c r="BC88" s="7" t="n"/>
      <c r="BI88" s="7" t="n"/>
      <c r="BJ88" s="7" t="n"/>
      <c r="BP88" s="7" t="n"/>
      <c r="BQ88" s="7" t="n"/>
      <c r="BW88" s="7" t="n"/>
      <c r="BX88" s="7" t="n"/>
    </row>
    <row r="89">
      <c r="A89" t="inlineStr">
        <is>
          <t>ANGI-100</t>
        </is>
      </c>
      <c r="B89" t="inlineStr">
        <is>
          <t>[FE] F-09 View Notifications</t>
        </is>
      </c>
      <c r="C89" t="inlineStr">
        <is>
          <t>Đức</t>
        </is>
      </c>
      <c r="D89" t="inlineStr">
        <is>
          <t>26/10/2026</t>
        </is>
      </c>
      <c r="E89" t="inlineStr">
        <is>
          <t>26/10/2026</t>
        </is>
      </c>
      <c r="F89" t="n">
        <v>9.300000000000001</v>
      </c>
      <c r="L89" s="7" t="n"/>
      <c r="M89" s="7" t="n"/>
      <c r="S89" s="7" t="n"/>
      <c r="T89" s="7" t="n"/>
      <c r="Z89" s="7" t="n"/>
      <c r="AA89" s="7" t="n"/>
      <c r="AB89" s="6" t="n"/>
      <c r="AG89" s="7" t="n"/>
      <c r="AH89" s="7" t="n"/>
      <c r="AN89" s="7" t="n"/>
      <c r="AO89" s="7" t="n"/>
      <c r="AU89" s="7" t="n"/>
      <c r="AV89" s="7" t="n"/>
      <c r="BB89" s="7" t="n"/>
      <c r="BC89" s="7" t="n"/>
      <c r="BI89" s="7" t="n"/>
      <c r="BJ89" s="7" t="n"/>
      <c r="BP89" s="7" t="n"/>
      <c r="BQ89" s="7" t="n"/>
      <c r="BW89" s="7" t="n"/>
      <c r="BX89" s="7" t="n"/>
    </row>
    <row r="90">
      <c r="A90" t="inlineStr">
        <is>
          <t>ANGI-101</t>
        </is>
      </c>
      <c r="B90" t="inlineStr">
        <is>
          <t>[BE] F-10 Mark Notification as Read</t>
        </is>
      </c>
      <c r="C90" t="inlineStr">
        <is>
          <t>Trọng</t>
        </is>
      </c>
      <c r="D90" t="inlineStr">
        <is>
          <t>26/10/2026</t>
        </is>
      </c>
      <c r="E90" t="inlineStr">
        <is>
          <t>26/10/2026</t>
        </is>
      </c>
      <c r="F90" t="n">
        <v>7.3</v>
      </c>
      <c r="L90" s="7" t="n"/>
      <c r="M90" s="7" t="n"/>
      <c r="S90" s="7" t="n"/>
      <c r="T90" s="7" t="n"/>
      <c r="Z90" s="7" t="n"/>
      <c r="AA90" s="7" t="n"/>
      <c r="AB90" s="6" t="n"/>
      <c r="AG90" s="7" t="n"/>
      <c r="AH90" s="7" t="n"/>
      <c r="AN90" s="7" t="n"/>
      <c r="AO90" s="7" t="n"/>
      <c r="AU90" s="7" t="n"/>
      <c r="AV90" s="7" t="n"/>
      <c r="BB90" s="7" t="n"/>
      <c r="BC90" s="7" t="n"/>
      <c r="BI90" s="7" t="n"/>
      <c r="BJ90" s="7" t="n"/>
      <c r="BP90" s="7" t="n"/>
      <c r="BQ90" s="7" t="n"/>
      <c r="BW90" s="7" t="n"/>
      <c r="BX90" s="7" t="n"/>
    </row>
    <row r="91">
      <c r="A91" t="inlineStr">
        <is>
          <t>ANGI-102</t>
        </is>
      </c>
      <c r="B91" t="inlineStr">
        <is>
          <t>Reco P2: Lưu like/dislike vào interaction_events (RECO-04 /feedback)</t>
        </is>
      </c>
      <c r="C91" t="inlineStr">
        <is>
          <t>Dũng</t>
        </is>
      </c>
      <c r="D91" t="inlineStr">
        <is>
          <t>26/10/2026</t>
        </is>
      </c>
      <c r="E91" t="inlineStr">
        <is>
          <t>26/10/2026</t>
        </is>
      </c>
      <c r="F91" t="n">
        <v>6.3</v>
      </c>
      <c r="L91" s="7" t="n"/>
      <c r="M91" s="7" t="n"/>
      <c r="S91" s="7" t="n"/>
      <c r="T91" s="7" t="n"/>
      <c r="Z91" s="7" t="n"/>
      <c r="AA91" s="7" t="n"/>
      <c r="AB91" s="6" t="n"/>
      <c r="AG91" s="7" t="n"/>
      <c r="AH91" s="7" t="n"/>
      <c r="AN91" s="7" t="n"/>
      <c r="AO91" s="7" t="n"/>
      <c r="AU91" s="7" t="n"/>
      <c r="AV91" s="7" t="n"/>
      <c r="BB91" s="7" t="n"/>
      <c r="BC91" s="7" t="n"/>
      <c r="BI91" s="7" t="n"/>
      <c r="BJ91" s="7" t="n"/>
      <c r="BP91" s="7" t="n"/>
      <c r="BQ91" s="7" t="n"/>
      <c r="BW91" s="7" t="n"/>
      <c r="BX91" s="7" t="n"/>
    </row>
    <row r="92">
      <c r="A92" t="inlineStr">
        <is>
          <t>ANGI-103</t>
        </is>
      </c>
      <c r="B92" t="inlineStr">
        <is>
          <t>[FE] F-10 Mark Notification as Read</t>
        </is>
      </c>
      <c r="C92" t="inlineStr">
        <is>
          <t>Đức</t>
        </is>
      </c>
      <c r="D92" t="inlineStr">
        <is>
          <t>26/10/2026</t>
        </is>
      </c>
      <c r="E92" t="inlineStr">
        <is>
          <t>27/10/2026</t>
        </is>
      </c>
      <c r="F92" t="n">
        <v>8.9</v>
      </c>
      <c r="L92" s="7" t="n"/>
      <c r="M92" s="7" t="n"/>
      <c r="S92" s="7" t="n"/>
      <c r="T92" s="7" t="n"/>
      <c r="Z92" s="7" t="n"/>
      <c r="AA92" s="7" t="n"/>
      <c r="AB92" s="6" t="n"/>
      <c r="AC92" s="6" t="n"/>
      <c r="AG92" s="7" t="n"/>
      <c r="AH92" s="7" t="n"/>
      <c r="AN92" s="7" t="n"/>
      <c r="AO92" s="7" t="n"/>
      <c r="AU92" s="7" t="n"/>
      <c r="AV92" s="7" t="n"/>
      <c r="BB92" s="7" t="n"/>
      <c r="BC92" s="7" t="n"/>
      <c r="BI92" s="7" t="n"/>
      <c r="BJ92" s="7" t="n"/>
      <c r="BP92" s="7" t="n"/>
      <c r="BQ92" s="7" t="n"/>
      <c r="BW92" s="7" t="n"/>
      <c r="BX92" s="7" t="n"/>
    </row>
    <row r="93">
      <c r="A93" t="inlineStr">
        <is>
          <t>ANGI-104</t>
        </is>
      </c>
      <c r="B93" t="inlineStr">
        <is>
          <t>[BE] F-19 Plan New Roadmap</t>
        </is>
      </c>
      <c r="C93" t="inlineStr">
        <is>
          <t>Hưng</t>
        </is>
      </c>
      <c r="D93" t="inlineStr">
        <is>
          <t>26/10/2026</t>
        </is>
      </c>
      <c r="E93" t="inlineStr">
        <is>
          <t>27/10/2026</t>
        </is>
      </c>
      <c r="F93" t="n">
        <v>3.9</v>
      </c>
      <c r="L93" s="7" t="n"/>
      <c r="M93" s="7" t="n"/>
      <c r="S93" s="7" t="n"/>
      <c r="T93" s="7" t="n"/>
      <c r="Z93" s="7" t="n"/>
      <c r="AA93" s="7" t="n"/>
      <c r="AB93" s="6" t="n"/>
      <c r="AC93" s="6" t="n"/>
      <c r="AG93" s="7" t="n"/>
      <c r="AH93" s="7" t="n"/>
      <c r="AN93" s="7" t="n"/>
      <c r="AO93" s="7" t="n"/>
      <c r="AU93" s="7" t="n"/>
      <c r="AV93" s="7" t="n"/>
      <c r="BB93" s="7" t="n"/>
      <c r="BC93" s="7" t="n"/>
      <c r="BI93" s="7" t="n"/>
      <c r="BJ93" s="7" t="n"/>
      <c r="BP93" s="7" t="n"/>
      <c r="BQ93" s="7" t="n"/>
      <c r="BW93" s="7" t="n"/>
      <c r="BX93" s="7" t="n"/>
    </row>
    <row r="94">
      <c r="A94" t="inlineStr">
        <is>
          <t>ANGI-105</t>
        </is>
      </c>
      <c r="B94" t="inlineStr">
        <is>
          <t>[FE] F-19 Plan New Roadmap</t>
        </is>
      </c>
      <c r="C94" t="inlineStr">
        <is>
          <t>Tuấn</t>
        </is>
      </c>
      <c r="D94" t="inlineStr">
        <is>
          <t>26/10/2026</t>
        </is>
      </c>
      <c r="E94" t="inlineStr">
        <is>
          <t>27/10/2026</t>
        </is>
      </c>
      <c r="F94" t="n">
        <v>8.5</v>
      </c>
      <c r="L94" s="7" t="n"/>
      <c r="M94" s="7" t="n"/>
      <c r="S94" s="7" t="n"/>
      <c r="T94" s="7" t="n"/>
      <c r="Z94" s="7" t="n"/>
      <c r="AA94" s="7" t="n"/>
      <c r="AB94" s="6" t="n"/>
      <c r="AC94" s="6" t="n"/>
      <c r="AG94" s="7" t="n"/>
      <c r="AH94" s="7" t="n"/>
      <c r="AN94" s="7" t="n"/>
      <c r="AO94" s="7" t="n"/>
      <c r="AU94" s="7" t="n"/>
      <c r="AV94" s="7" t="n"/>
      <c r="BB94" s="7" t="n"/>
      <c r="BC94" s="7" t="n"/>
      <c r="BI94" s="7" t="n"/>
      <c r="BJ94" s="7" t="n"/>
      <c r="BP94" s="7" t="n"/>
      <c r="BQ94" s="7" t="n"/>
      <c r="BW94" s="7" t="n"/>
      <c r="BX94" s="7" t="n"/>
    </row>
    <row r="95">
      <c r="A95" t="inlineStr">
        <is>
          <t>ANGI-106</t>
        </is>
      </c>
      <c r="B95" t="inlineStr">
        <is>
          <t>[BE] F-36 Write Blog</t>
        </is>
      </c>
      <c r="C95" t="inlineStr">
        <is>
          <t>Trọng</t>
        </is>
      </c>
      <c r="D95" t="inlineStr">
        <is>
          <t>26/10/2026</t>
        </is>
      </c>
      <c r="E95" t="inlineStr">
        <is>
          <t>27/10/2026</t>
        </is>
      </c>
      <c r="F95" t="n">
        <v>6</v>
      </c>
      <c r="L95" s="7" t="n"/>
      <c r="M95" s="7" t="n"/>
      <c r="S95" s="7" t="n"/>
      <c r="T95" s="7" t="n"/>
      <c r="Z95" s="7" t="n"/>
      <c r="AA95" s="7" t="n"/>
      <c r="AB95" s="6" t="n"/>
      <c r="AC95" s="6" t="n"/>
      <c r="AG95" s="7" t="n"/>
      <c r="AH95" s="7" t="n"/>
      <c r="AN95" s="7" t="n"/>
      <c r="AO95" s="7" t="n"/>
      <c r="AU95" s="7" t="n"/>
      <c r="AV95" s="7" t="n"/>
      <c r="BB95" s="7" t="n"/>
      <c r="BC95" s="7" t="n"/>
      <c r="BI95" s="7" t="n"/>
      <c r="BJ95" s="7" t="n"/>
      <c r="BP95" s="7" t="n"/>
      <c r="BQ95" s="7" t="n"/>
      <c r="BW95" s="7" t="n"/>
      <c r="BX95" s="7" t="n"/>
    </row>
    <row r="96">
      <c r="A96" t="inlineStr">
        <is>
          <t>ANGI-107</t>
        </is>
      </c>
      <c r="B96" t="inlineStr">
        <is>
          <t>[BE] F-34 View Public Blog</t>
        </is>
      </c>
      <c r="C96" t="inlineStr">
        <is>
          <t>Trọng</t>
        </is>
      </c>
      <c r="D96" t="inlineStr">
        <is>
          <t>27/10/2026</t>
        </is>
      </c>
      <c r="E96" t="inlineStr">
        <is>
          <t>27/10/2026</t>
        </is>
      </c>
      <c r="F96" t="n">
        <v>6.1</v>
      </c>
      <c r="L96" s="7" t="n"/>
      <c r="M96" s="7" t="n"/>
      <c r="S96" s="7" t="n"/>
      <c r="T96" s="7" t="n"/>
      <c r="Z96" s="7" t="n"/>
      <c r="AA96" s="7" t="n"/>
      <c r="AC96" s="6" t="n"/>
      <c r="AG96" s="7" t="n"/>
      <c r="AH96" s="7" t="n"/>
      <c r="AN96" s="7" t="n"/>
      <c r="AO96" s="7" t="n"/>
      <c r="AU96" s="7" t="n"/>
      <c r="AV96" s="7" t="n"/>
      <c r="BB96" s="7" t="n"/>
      <c r="BC96" s="7" t="n"/>
      <c r="BI96" s="7" t="n"/>
      <c r="BJ96" s="7" t="n"/>
      <c r="BP96" s="7" t="n"/>
      <c r="BQ96" s="7" t="n"/>
      <c r="BW96" s="7" t="n"/>
      <c r="BX96" s="7" t="n"/>
    </row>
    <row r="97">
      <c r="A97" t="inlineStr">
        <is>
          <t>ANGI-108</t>
        </is>
      </c>
      <c r="B97" t="inlineStr">
        <is>
          <t>Reco P2: Implicit score từ lịch sử tương tác</t>
        </is>
      </c>
      <c r="C97" t="inlineStr">
        <is>
          <t>Dũng</t>
        </is>
      </c>
      <c r="D97" t="inlineStr">
        <is>
          <t>27/10/2026</t>
        </is>
      </c>
      <c r="E97" t="inlineStr">
        <is>
          <t>27/10/2026</t>
        </is>
      </c>
      <c r="F97" t="n">
        <v>6.3</v>
      </c>
      <c r="L97" s="7" t="n"/>
      <c r="M97" s="7" t="n"/>
      <c r="S97" s="7" t="n"/>
      <c r="T97" s="7" t="n"/>
      <c r="Z97" s="7" t="n"/>
      <c r="AA97" s="7" t="n"/>
      <c r="AC97" s="6" t="n"/>
      <c r="AG97" s="7" t="n"/>
      <c r="AH97" s="7" t="n"/>
      <c r="AN97" s="7" t="n"/>
      <c r="AO97" s="7" t="n"/>
      <c r="AU97" s="7" t="n"/>
      <c r="AV97" s="7" t="n"/>
      <c r="BB97" s="7" t="n"/>
      <c r="BC97" s="7" t="n"/>
      <c r="BI97" s="7" t="n"/>
      <c r="BJ97" s="7" t="n"/>
      <c r="BP97" s="7" t="n"/>
      <c r="BQ97" s="7" t="n"/>
      <c r="BW97" s="7" t="n"/>
      <c r="BX97" s="7" t="n"/>
    </row>
    <row r="98">
      <c r="A98" t="inlineStr">
        <is>
          <t>ANGI-109</t>
        </is>
      </c>
      <c r="B98" t="inlineStr">
        <is>
          <t>[BE] F-20 View My Roadmap</t>
        </is>
      </c>
      <c r="C98" t="inlineStr">
        <is>
          <t>Hưng</t>
        </is>
      </c>
      <c r="D98" t="inlineStr">
        <is>
          <t>27/10/2026</t>
        </is>
      </c>
      <c r="E98" t="inlineStr">
        <is>
          <t>28/10/2026</t>
        </is>
      </c>
      <c r="F98" t="n">
        <v>6</v>
      </c>
      <c r="L98" s="7" t="n"/>
      <c r="M98" s="7" t="n"/>
      <c r="S98" s="7" t="n"/>
      <c r="T98" s="7" t="n"/>
      <c r="Z98" s="7" t="n"/>
      <c r="AA98" s="7" t="n"/>
      <c r="AC98" s="6" t="n"/>
      <c r="AD98" s="6" t="n"/>
      <c r="AG98" s="7" t="n"/>
      <c r="AH98" s="7" t="n"/>
      <c r="AN98" s="7" t="n"/>
      <c r="AO98" s="7" t="n"/>
      <c r="AU98" s="7" t="n"/>
      <c r="AV98" s="7" t="n"/>
      <c r="BB98" s="7" t="n"/>
      <c r="BC98" s="7" t="n"/>
      <c r="BI98" s="7" t="n"/>
      <c r="BJ98" s="7" t="n"/>
      <c r="BP98" s="7" t="n"/>
      <c r="BQ98" s="7" t="n"/>
      <c r="BW98" s="7" t="n"/>
      <c r="BX98" s="7" t="n"/>
    </row>
    <row r="99">
      <c r="A99" t="inlineStr">
        <is>
          <t>ANGI-110</t>
        </is>
      </c>
      <c r="B99" t="inlineStr">
        <is>
          <t>[FE] F-20 View My Roadmap</t>
        </is>
      </c>
      <c r="C99" t="inlineStr">
        <is>
          <t>Tuấn</t>
        </is>
      </c>
      <c r="D99" t="inlineStr">
        <is>
          <t>27/10/2026</t>
        </is>
      </c>
      <c r="E99" t="inlineStr">
        <is>
          <t>28/10/2026</t>
        </is>
      </c>
      <c r="F99" t="n">
        <v>8</v>
      </c>
      <c r="L99" s="7" t="n"/>
      <c r="M99" s="7" t="n"/>
      <c r="S99" s="7" t="n"/>
      <c r="T99" s="7" t="n"/>
      <c r="Z99" s="7" t="n"/>
      <c r="AA99" s="7" t="n"/>
      <c r="AC99" s="6" t="n"/>
      <c r="AD99" s="6" t="n"/>
      <c r="AG99" s="7" t="n"/>
      <c r="AH99" s="7" t="n"/>
      <c r="AN99" s="7" t="n"/>
      <c r="AO99" s="7" t="n"/>
      <c r="AU99" s="7" t="n"/>
      <c r="AV99" s="7" t="n"/>
      <c r="BB99" s="7" t="n"/>
      <c r="BC99" s="7" t="n"/>
      <c r="BI99" s="7" t="n"/>
      <c r="BJ99" s="7" t="n"/>
      <c r="BP99" s="7" t="n"/>
      <c r="BQ99" s="7" t="n"/>
      <c r="BW99" s="7" t="n"/>
      <c r="BX99" s="7" t="n"/>
    </row>
    <row r="100">
      <c r="A100" t="inlineStr">
        <is>
          <t>ANGI-111</t>
        </is>
      </c>
      <c r="B100" t="inlineStr">
        <is>
          <t>[BE] F-35 View Detail Blog</t>
        </is>
      </c>
      <c r="C100" t="inlineStr">
        <is>
          <t>Trọng</t>
        </is>
      </c>
      <c r="D100" t="inlineStr">
        <is>
          <t>27/10/2026</t>
        </is>
      </c>
      <c r="E100" t="inlineStr">
        <is>
          <t>28/10/2026</t>
        </is>
      </c>
      <c r="F100" t="n">
        <v>5.6</v>
      </c>
      <c r="L100" s="7" t="n"/>
      <c r="M100" s="7" t="n"/>
      <c r="S100" s="7" t="n"/>
      <c r="T100" s="7" t="n"/>
      <c r="Z100" s="7" t="n"/>
      <c r="AA100" s="7" t="n"/>
      <c r="AC100" s="6" t="n"/>
      <c r="AD100" s="6" t="n"/>
      <c r="AG100" s="7" t="n"/>
      <c r="AH100" s="7" t="n"/>
      <c r="AN100" s="7" t="n"/>
      <c r="AO100" s="7" t="n"/>
      <c r="AU100" s="7" t="n"/>
      <c r="AV100" s="7" t="n"/>
      <c r="BB100" s="7" t="n"/>
      <c r="BC100" s="7" t="n"/>
      <c r="BI100" s="7" t="n"/>
      <c r="BJ100" s="7" t="n"/>
      <c r="BP100" s="7" t="n"/>
      <c r="BQ100" s="7" t="n"/>
      <c r="BW100" s="7" t="n"/>
      <c r="BX100" s="7" t="n"/>
    </row>
    <row r="101">
      <c r="A101" t="inlineStr">
        <is>
          <t>ANGI-112</t>
        </is>
      </c>
      <c r="B101" t="inlineStr">
        <is>
          <t>[FE] F-36 Write Blog</t>
        </is>
      </c>
      <c r="C101" t="inlineStr">
        <is>
          <t>Đức</t>
        </is>
      </c>
      <c r="D101" t="inlineStr">
        <is>
          <t>27/10/2026</t>
        </is>
      </c>
      <c r="E101" t="inlineStr">
        <is>
          <t>28/10/2026</t>
        </is>
      </c>
      <c r="F101" t="n">
        <v>7.8</v>
      </c>
      <c r="L101" s="7" t="n"/>
      <c r="M101" s="7" t="n"/>
      <c r="S101" s="7" t="n"/>
      <c r="T101" s="7" t="n"/>
      <c r="Z101" s="7" t="n"/>
      <c r="AA101" s="7" t="n"/>
      <c r="AC101" s="6" t="n"/>
      <c r="AD101" s="6" t="n"/>
      <c r="AG101" s="7" t="n"/>
      <c r="AH101" s="7" t="n"/>
      <c r="AN101" s="7" t="n"/>
      <c r="AO101" s="7" t="n"/>
      <c r="AU101" s="7" t="n"/>
      <c r="AV101" s="7" t="n"/>
      <c r="BB101" s="7" t="n"/>
      <c r="BC101" s="7" t="n"/>
      <c r="BI101" s="7" t="n"/>
      <c r="BJ101" s="7" t="n"/>
      <c r="BP101" s="7" t="n"/>
      <c r="BQ101" s="7" t="n"/>
      <c r="BW101" s="7" t="n"/>
      <c r="BX101" s="7" t="n"/>
    </row>
    <row r="102">
      <c r="A102" t="inlineStr">
        <is>
          <t>ANGI-113</t>
        </is>
      </c>
      <c r="B102" t="inlineStr">
        <is>
          <t>Report 4: SDS v1.2</t>
        </is>
      </c>
      <c r="C102" t="inlineStr">
        <is>
          <t>Dũng</t>
        </is>
      </c>
      <c r="D102" t="inlineStr">
        <is>
          <t>27/10/2026</t>
        </is>
      </c>
      <c r="E102" t="inlineStr">
        <is>
          <t>28/10/2026</t>
        </is>
      </c>
      <c r="F102" t="n">
        <v>46</v>
      </c>
      <c r="L102" s="7" t="n"/>
      <c r="M102" s="7" t="n"/>
      <c r="S102" s="7" t="n"/>
      <c r="T102" s="7" t="n"/>
      <c r="Z102" s="7" t="n"/>
      <c r="AA102" s="7" t="n"/>
      <c r="AC102" s="6" t="n"/>
      <c r="AD102" s="6" t="n"/>
      <c r="AG102" s="7" t="n"/>
      <c r="AH102" s="7" t="n"/>
      <c r="AN102" s="7" t="n"/>
      <c r="AO102" s="7" t="n"/>
      <c r="AU102" s="7" t="n"/>
      <c r="AV102" s="7" t="n"/>
      <c r="BB102" s="7" t="n"/>
      <c r="BC102" s="7" t="n"/>
      <c r="BI102" s="7" t="n"/>
      <c r="BJ102" s="7" t="n"/>
      <c r="BP102" s="7" t="n"/>
      <c r="BQ102" s="7" t="n"/>
      <c r="BW102" s="7" t="n"/>
      <c r="BX102" s="7" t="n"/>
    </row>
    <row r="103">
      <c r="A103" t="inlineStr">
        <is>
          <t>ANGI-114</t>
        </is>
      </c>
      <c r="B103" t="inlineStr">
        <is>
          <t>[BE] F-21 View My Roadmap Detail</t>
        </is>
      </c>
      <c r="C103" t="inlineStr">
        <is>
          <t>Hưng</t>
        </is>
      </c>
      <c r="D103" t="inlineStr">
        <is>
          <t>28/10/2026</t>
        </is>
      </c>
      <c r="E103" t="inlineStr">
        <is>
          <t>28/10/2026</t>
        </is>
      </c>
      <c r="F103" t="n">
        <v>5.1</v>
      </c>
      <c r="L103" s="7" t="n"/>
      <c r="M103" s="7" t="n"/>
      <c r="S103" s="7" t="n"/>
      <c r="T103" s="7" t="n"/>
      <c r="Z103" s="7" t="n"/>
      <c r="AA103" s="7" t="n"/>
      <c r="AD103" s="6" t="n"/>
      <c r="AG103" s="7" t="n"/>
      <c r="AH103" s="7" t="n"/>
      <c r="AN103" s="7" t="n"/>
      <c r="AO103" s="7" t="n"/>
      <c r="AU103" s="7" t="n"/>
      <c r="AV103" s="7" t="n"/>
      <c r="BB103" s="7" t="n"/>
      <c r="BC103" s="7" t="n"/>
      <c r="BI103" s="7" t="n"/>
      <c r="BJ103" s="7" t="n"/>
      <c r="BP103" s="7" t="n"/>
      <c r="BQ103" s="7" t="n"/>
      <c r="BW103" s="7" t="n"/>
      <c r="BX103" s="7" t="n"/>
    </row>
    <row r="104">
      <c r="A104" t="inlineStr">
        <is>
          <t>ANGI-115</t>
        </is>
      </c>
      <c r="B104" t="inlineStr">
        <is>
          <t>[FE] F-21 View My Roadmap Detail</t>
        </is>
      </c>
      <c r="C104" t="inlineStr">
        <is>
          <t>Tuấn</t>
        </is>
      </c>
      <c r="D104" t="inlineStr">
        <is>
          <t>28/10/2026</t>
        </is>
      </c>
      <c r="E104" t="inlineStr">
        <is>
          <t>28/10/2026</t>
        </is>
      </c>
      <c r="F104" t="n">
        <v>7.1</v>
      </c>
      <c r="L104" s="7" t="n"/>
      <c r="M104" s="7" t="n"/>
      <c r="S104" s="7" t="n"/>
      <c r="T104" s="7" t="n"/>
      <c r="Z104" s="7" t="n"/>
      <c r="AA104" s="7" t="n"/>
      <c r="AD104" s="6" t="n"/>
      <c r="AG104" s="7" t="n"/>
      <c r="AH104" s="7" t="n"/>
      <c r="AN104" s="7" t="n"/>
      <c r="AO104" s="7" t="n"/>
      <c r="AU104" s="7" t="n"/>
      <c r="AV104" s="7" t="n"/>
      <c r="BB104" s="7" t="n"/>
      <c r="BC104" s="7" t="n"/>
      <c r="BI104" s="7" t="n"/>
      <c r="BJ104" s="7" t="n"/>
      <c r="BP104" s="7" t="n"/>
      <c r="BQ104" s="7" t="n"/>
      <c r="BW104" s="7" t="n"/>
      <c r="BX104" s="7" t="n"/>
    </row>
    <row r="105">
      <c r="A105" t="inlineStr">
        <is>
          <t>ANGI-116</t>
        </is>
      </c>
      <c r="B105" t="inlineStr">
        <is>
          <t>[FE] F-34 View Public Blog</t>
        </is>
      </c>
      <c r="C105" t="inlineStr">
        <is>
          <t>Đức</t>
        </is>
      </c>
      <c r="D105" t="inlineStr">
        <is>
          <t>28/10/2026</t>
        </is>
      </c>
      <c r="E105" t="inlineStr">
        <is>
          <t>28/10/2026</t>
        </is>
      </c>
      <c r="F105" t="n">
        <v>7.1</v>
      </c>
      <c r="L105" s="7" t="n"/>
      <c r="M105" s="7" t="n"/>
      <c r="S105" s="7" t="n"/>
      <c r="T105" s="7" t="n"/>
      <c r="Z105" s="7" t="n"/>
      <c r="AA105" s="7" t="n"/>
      <c r="AD105" s="6" t="n"/>
      <c r="AG105" s="7" t="n"/>
      <c r="AH105" s="7" t="n"/>
      <c r="AN105" s="7" t="n"/>
      <c r="AO105" s="7" t="n"/>
      <c r="AU105" s="7" t="n"/>
      <c r="AV105" s="7" t="n"/>
      <c r="BB105" s="7" t="n"/>
      <c r="BC105" s="7" t="n"/>
      <c r="BI105" s="7" t="n"/>
      <c r="BJ105" s="7" t="n"/>
      <c r="BP105" s="7" t="n"/>
      <c r="BQ105" s="7" t="n"/>
      <c r="BW105" s="7" t="n"/>
      <c r="BX105" s="7" t="n"/>
    </row>
    <row r="106">
      <c r="A106" t="inlineStr">
        <is>
          <t>ANGI-117</t>
        </is>
      </c>
      <c r="B106" t="inlineStr">
        <is>
          <t>[BE] F-37 View My Blog</t>
        </is>
      </c>
      <c r="C106" t="inlineStr">
        <is>
          <t>Trọng</t>
        </is>
      </c>
      <c r="D106" t="inlineStr">
        <is>
          <t>28/10/2026</t>
        </is>
      </c>
      <c r="E106" t="inlineStr">
        <is>
          <t>28/10/2026</t>
        </is>
      </c>
      <c r="F106" t="n">
        <v>5.1</v>
      </c>
      <c r="L106" s="7" t="n"/>
      <c r="M106" s="7" t="n"/>
      <c r="S106" s="7" t="n"/>
      <c r="T106" s="7" t="n"/>
      <c r="Z106" s="7" t="n"/>
      <c r="AA106" s="7" t="n"/>
      <c r="AD106" s="6" t="n"/>
      <c r="AG106" s="7" t="n"/>
      <c r="AH106" s="7" t="n"/>
      <c r="AN106" s="7" t="n"/>
      <c r="AO106" s="7" t="n"/>
      <c r="AU106" s="7" t="n"/>
      <c r="AV106" s="7" t="n"/>
      <c r="BB106" s="7" t="n"/>
      <c r="BC106" s="7" t="n"/>
      <c r="BI106" s="7" t="n"/>
      <c r="BJ106" s="7" t="n"/>
      <c r="BP106" s="7" t="n"/>
      <c r="BQ106" s="7" t="n"/>
      <c r="BW106" s="7" t="n"/>
      <c r="BX106" s="7" t="n"/>
    </row>
    <row r="107">
      <c r="A107" t="inlineStr">
        <is>
          <t>ANGI-118</t>
        </is>
      </c>
      <c r="B107" t="inlineStr">
        <is>
          <t>[BE] F-22 Delete My Roadmap</t>
        </is>
      </c>
      <c r="C107" t="inlineStr">
        <is>
          <t>Hưng</t>
        </is>
      </c>
      <c r="D107" t="inlineStr">
        <is>
          <t>28/10/2026</t>
        </is>
      </c>
      <c r="E107" t="inlineStr">
        <is>
          <t>29/10/2026</t>
        </is>
      </c>
      <c r="F107" t="n">
        <v>4.8</v>
      </c>
      <c r="L107" s="7" t="n"/>
      <c r="M107" s="7" t="n"/>
      <c r="S107" s="7" t="n"/>
      <c r="T107" s="7" t="n"/>
      <c r="Z107" s="7" t="n"/>
      <c r="AA107" s="7" t="n"/>
      <c r="AD107" s="6" t="n"/>
      <c r="AE107" s="6" t="n"/>
      <c r="AG107" s="7" t="n"/>
      <c r="AH107" s="7" t="n"/>
      <c r="AN107" s="7" t="n"/>
      <c r="AO107" s="7" t="n"/>
      <c r="AU107" s="7" t="n"/>
      <c r="AV107" s="7" t="n"/>
      <c r="BB107" s="7" t="n"/>
      <c r="BC107" s="7" t="n"/>
      <c r="BI107" s="7" t="n"/>
      <c r="BJ107" s="7" t="n"/>
      <c r="BP107" s="7" t="n"/>
      <c r="BQ107" s="7" t="n"/>
      <c r="BW107" s="7" t="n"/>
      <c r="BX107" s="7" t="n"/>
    </row>
    <row r="108">
      <c r="A108" t="inlineStr">
        <is>
          <t>ANGI-119</t>
        </is>
      </c>
      <c r="B108" t="inlineStr">
        <is>
          <t>[FE] F-22 Delete My Roadmap</t>
        </is>
      </c>
      <c r="C108" t="inlineStr">
        <is>
          <t>Tuấn</t>
        </is>
      </c>
      <c r="D108" t="inlineStr">
        <is>
          <t>28/10/2026</t>
        </is>
      </c>
      <c r="E108" t="inlineStr">
        <is>
          <t>29/10/2026</t>
        </is>
      </c>
      <c r="F108" t="n">
        <v>6.8</v>
      </c>
      <c r="L108" s="7" t="n"/>
      <c r="M108" s="7" t="n"/>
      <c r="S108" s="7" t="n"/>
      <c r="T108" s="7" t="n"/>
      <c r="Z108" s="7" t="n"/>
      <c r="AA108" s="7" t="n"/>
      <c r="AD108" s="6" t="n"/>
      <c r="AE108" s="6" t="n"/>
      <c r="AG108" s="7" t="n"/>
      <c r="AH108" s="7" t="n"/>
      <c r="AN108" s="7" t="n"/>
      <c r="AO108" s="7" t="n"/>
      <c r="AU108" s="7" t="n"/>
      <c r="AV108" s="7" t="n"/>
      <c r="BB108" s="7" t="n"/>
      <c r="BC108" s="7" t="n"/>
      <c r="BI108" s="7" t="n"/>
      <c r="BJ108" s="7" t="n"/>
      <c r="BP108" s="7" t="n"/>
      <c r="BQ108" s="7" t="n"/>
      <c r="BW108" s="7" t="n"/>
      <c r="BX108" s="7" t="n"/>
    </row>
    <row r="109">
      <c r="A109" t="inlineStr">
        <is>
          <t>ANGI-120</t>
        </is>
      </c>
      <c r="B109" t="inlineStr">
        <is>
          <t>[FE] F-35 View Detail Blog</t>
        </is>
      </c>
      <c r="C109" t="inlineStr">
        <is>
          <t>Đức</t>
        </is>
      </c>
      <c r="D109" t="inlineStr">
        <is>
          <t>28/10/2026</t>
        </is>
      </c>
      <c r="E109" t="inlineStr">
        <is>
          <t>29/10/2026</t>
        </is>
      </c>
      <c r="F109" t="n">
        <v>6.4</v>
      </c>
      <c r="L109" s="7" t="n"/>
      <c r="M109" s="7" t="n"/>
      <c r="S109" s="7" t="n"/>
      <c r="T109" s="7" t="n"/>
      <c r="Z109" s="7" t="n"/>
      <c r="AA109" s="7" t="n"/>
      <c r="AD109" s="6" t="n"/>
      <c r="AE109" s="6" t="n"/>
      <c r="AG109" s="7" t="n"/>
      <c r="AH109" s="7" t="n"/>
      <c r="AN109" s="7" t="n"/>
      <c r="AO109" s="7" t="n"/>
      <c r="AU109" s="7" t="n"/>
      <c r="AV109" s="7" t="n"/>
      <c r="BB109" s="7" t="n"/>
      <c r="BC109" s="7" t="n"/>
      <c r="BI109" s="7" t="n"/>
      <c r="BJ109" s="7" t="n"/>
      <c r="BP109" s="7" t="n"/>
      <c r="BQ109" s="7" t="n"/>
      <c r="BW109" s="7" t="n"/>
      <c r="BX109" s="7" t="n"/>
    </row>
    <row r="110">
      <c r="A110" t="inlineStr">
        <is>
          <t>ANGI-121</t>
        </is>
      </c>
      <c r="B110" t="inlineStr">
        <is>
          <t>[BE] F-38 Edit Blog</t>
        </is>
      </c>
      <c r="C110" t="inlineStr">
        <is>
          <t>Trọng</t>
        </is>
      </c>
      <c r="D110" t="inlineStr">
        <is>
          <t>28/10/2026</t>
        </is>
      </c>
      <c r="E110" t="inlineStr">
        <is>
          <t>29/10/2026</t>
        </is>
      </c>
      <c r="F110" t="n">
        <v>4.6</v>
      </c>
      <c r="L110" s="7" t="n"/>
      <c r="M110" s="7" t="n"/>
      <c r="S110" s="7" t="n"/>
      <c r="T110" s="7" t="n"/>
      <c r="Z110" s="7" t="n"/>
      <c r="AA110" s="7" t="n"/>
      <c r="AD110" s="6" t="n"/>
      <c r="AE110" s="6" t="n"/>
      <c r="AG110" s="7" t="n"/>
      <c r="AH110" s="7" t="n"/>
      <c r="AN110" s="7" t="n"/>
      <c r="AO110" s="7" t="n"/>
      <c r="AU110" s="7" t="n"/>
      <c r="AV110" s="7" t="n"/>
      <c r="BB110" s="7" t="n"/>
      <c r="BC110" s="7" t="n"/>
      <c r="BI110" s="7" t="n"/>
      <c r="BJ110" s="7" t="n"/>
      <c r="BP110" s="7" t="n"/>
      <c r="BQ110" s="7" t="n"/>
      <c r="BW110" s="7" t="n"/>
      <c r="BX110" s="7" t="n"/>
    </row>
    <row r="111">
      <c r="A111" t="inlineStr">
        <is>
          <t>ANGI-122</t>
        </is>
      </c>
      <c r="B111" t="inlineStr">
        <is>
          <t>Reco P2: Personalized score + Community score + Final score</t>
        </is>
      </c>
      <c r="C111" t="inlineStr">
        <is>
          <t>Dũng</t>
        </is>
      </c>
      <c r="D111" t="inlineStr">
        <is>
          <t>28/10/2026</t>
        </is>
      </c>
      <c r="E111" t="inlineStr">
        <is>
          <t>29/10/2026</t>
        </is>
      </c>
      <c r="F111" t="n">
        <v>6.3</v>
      </c>
      <c r="L111" s="7" t="n"/>
      <c r="M111" s="7" t="n"/>
      <c r="S111" s="7" t="n"/>
      <c r="T111" s="7" t="n"/>
      <c r="Z111" s="7" t="n"/>
      <c r="AA111" s="7" t="n"/>
      <c r="AD111" s="6" t="n"/>
      <c r="AE111" s="6" t="n"/>
      <c r="AG111" s="7" t="n"/>
      <c r="AH111" s="7" t="n"/>
      <c r="AN111" s="7" t="n"/>
      <c r="AO111" s="7" t="n"/>
      <c r="AU111" s="7" t="n"/>
      <c r="AV111" s="7" t="n"/>
      <c r="BB111" s="7" t="n"/>
      <c r="BC111" s="7" t="n"/>
      <c r="BI111" s="7" t="n"/>
      <c r="BJ111" s="7" t="n"/>
      <c r="BP111" s="7" t="n"/>
      <c r="BQ111" s="7" t="n"/>
      <c r="BW111" s="7" t="n"/>
      <c r="BX111" s="7" t="n"/>
    </row>
    <row r="112">
      <c r="A112" t="inlineStr">
        <is>
          <t>ANGI-123</t>
        </is>
      </c>
      <c r="B112" t="inlineStr">
        <is>
          <t>[BE] F-39 Delete Blog</t>
        </is>
      </c>
      <c r="C112" t="inlineStr">
        <is>
          <t>Trọng</t>
        </is>
      </c>
      <c r="D112" t="inlineStr">
        <is>
          <t>29/10/2026</t>
        </is>
      </c>
      <c r="E112" t="inlineStr">
        <is>
          <t>29/10/2026</t>
        </is>
      </c>
      <c r="F112" t="n">
        <v>4.4</v>
      </c>
      <c r="L112" s="7" t="n"/>
      <c r="M112" s="7" t="n"/>
      <c r="S112" s="7" t="n"/>
      <c r="T112" s="7" t="n"/>
      <c r="Z112" s="7" t="n"/>
      <c r="AA112" s="7" t="n"/>
      <c r="AE112" s="6" t="n"/>
      <c r="AG112" s="7" t="n"/>
      <c r="AH112" s="7" t="n"/>
      <c r="AN112" s="7" t="n"/>
      <c r="AO112" s="7" t="n"/>
      <c r="AU112" s="7" t="n"/>
      <c r="AV112" s="7" t="n"/>
      <c r="BB112" s="7" t="n"/>
      <c r="BC112" s="7" t="n"/>
      <c r="BI112" s="7" t="n"/>
      <c r="BJ112" s="7" t="n"/>
      <c r="BP112" s="7" t="n"/>
      <c r="BQ112" s="7" t="n"/>
      <c r="BW112" s="7" t="n"/>
      <c r="BX112" s="7" t="n"/>
    </row>
    <row r="113">
      <c r="A113" t="inlineStr">
        <is>
          <t>ANGI-124</t>
        </is>
      </c>
      <c r="B113" t="inlineStr">
        <is>
          <t>[BE] F-25 Add Dish and Place</t>
        </is>
      </c>
      <c r="C113" t="inlineStr">
        <is>
          <t>Hưng</t>
        </is>
      </c>
      <c r="D113" t="inlineStr">
        <is>
          <t>29/10/2026</t>
        </is>
      </c>
      <c r="E113" t="inlineStr">
        <is>
          <t>30/10/2026</t>
        </is>
      </c>
      <c r="F113" t="n">
        <v>3.3</v>
      </c>
      <c r="L113" s="7" t="n"/>
      <c r="M113" s="7" t="n"/>
      <c r="S113" s="7" t="n"/>
      <c r="T113" s="7" t="n"/>
      <c r="Z113" s="7" t="n"/>
      <c r="AA113" s="7" t="n"/>
      <c r="AE113" s="6" t="n"/>
      <c r="AF113" s="6" t="n"/>
      <c r="AG113" s="7" t="n"/>
      <c r="AH113" s="7" t="n"/>
      <c r="AN113" s="7" t="n"/>
      <c r="AO113" s="7" t="n"/>
      <c r="AU113" s="7" t="n"/>
      <c r="AV113" s="7" t="n"/>
      <c r="BB113" s="7" t="n"/>
      <c r="BC113" s="7" t="n"/>
      <c r="BI113" s="7" t="n"/>
      <c r="BJ113" s="7" t="n"/>
      <c r="BP113" s="7" t="n"/>
      <c r="BQ113" s="7" t="n"/>
      <c r="BW113" s="7" t="n"/>
      <c r="BX113" s="7" t="n"/>
    </row>
    <row r="114">
      <c r="A114" t="inlineStr">
        <is>
          <t>ANGI-125</t>
        </is>
      </c>
      <c r="B114" t="inlineStr">
        <is>
          <t>[FE] F-25 Add Dish and Place</t>
        </is>
      </c>
      <c r="C114" t="inlineStr">
        <is>
          <t>Tuấn</t>
        </is>
      </c>
      <c r="D114" t="inlineStr">
        <is>
          <t>29/10/2026</t>
        </is>
      </c>
      <c r="E114" t="inlineStr">
        <is>
          <t>30/10/2026</t>
        </is>
      </c>
      <c r="F114" t="n">
        <v>5.9</v>
      </c>
      <c r="L114" s="7" t="n"/>
      <c r="M114" s="7" t="n"/>
      <c r="S114" s="7" t="n"/>
      <c r="T114" s="7" t="n"/>
      <c r="Z114" s="7" t="n"/>
      <c r="AA114" s="7" t="n"/>
      <c r="AE114" s="6" t="n"/>
      <c r="AF114" s="6" t="n"/>
      <c r="AG114" s="7" t="n"/>
      <c r="AH114" s="7" t="n"/>
      <c r="AN114" s="7" t="n"/>
      <c r="AO114" s="7" t="n"/>
      <c r="AU114" s="7" t="n"/>
      <c r="AV114" s="7" t="n"/>
      <c r="BB114" s="7" t="n"/>
      <c r="BC114" s="7" t="n"/>
      <c r="BI114" s="7" t="n"/>
      <c r="BJ114" s="7" t="n"/>
      <c r="BP114" s="7" t="n"/>
      <c r="BQ114" s="7" t="n"/>
      <c r="BW114" s="7" t="n"/>
      <c r="BX114" s="7" t="n"/>
    </row>
    <row r="115">
      <c r="A115" t="inlineStr">
        <is>
          <t>ANGI-126</t>
        </is>
      </c>
      <c r="B115" t="inlineStr">
        <is>
          <t>[FE] F-37 View My Blog</t>
        </is>
      </c>
      <c r="C115" t="inlineStr">
        <is>
          <t>Đức</t>
        </is>
      </c>
      <c r="D115" t="inlineStr">
        <is>
          <t>29/10/2026</t>
        </is>
      </c>
      <c r="E115" t="inlineStr">
        <is>
          <t>30/10/2026</t>
        </is>
      </c>
      <c r="F115" t="n">
        <v>5.7</v>
      </c>
      <c r="L115" s="7" t="n"/>
      <c r="M115" s="7" t="n"/>
      <c r="S115" s="7" t="n"/>
      <c r="T115" s="7" t="n"/>
      <c r="Z115" s="7" t="n"/>
      <c r="AA115" s="7" t="n"/>
      <c r="AE115" s="6" t="n"/>
      <c r="AF115" s="6" t="n"/>
      <c r="AG115" s="7" t="n"/>
      <c r="AH115" s="7" t="n"/>
      <c r="AN115" s="7" t="n"/>
      <c r="AO115" s="7" t="n"/>
      <c r="AU115" s="7" t="n"/>
      <c r="AV115" s="7" t="n"/>
      <c r="BB115" s="7" t="n"/>
      <c r="BC115" s="7" t="n"/>
      <c r="BI115" s="7" t="n"/>
      <c r="BJ115" s="7" t="n"/>
      <c r="BP115" s="7" t="n"/>
      <c r="BQ115" s="7" t="n"/>
      <c r="BW115" s="7" t="n"/>
      <c r="BX115" s="7" t="n"/>
    </row>
    <row r="116">
      <c r="A116" t="inlineStr">
        <is>
          <t>ANGI-127</t>
        </is>
      </c>
      <c r="B116" t="inlineStr">
        <is>
          <t>[BE] F-40 Interact With Blog</t>
        </is>
      </c>
      <c r="C116" t="inlineStr">
        <is>
          <t>Trọng</t>
        </is>
      </c>
      <c r="D116" t="inlineStr">
        <is>
          <t>29/10/2026</t>
        </is>
      </c>
      <c r="E116" t="inlineStr">
        <is>
          <t>30/10/2026</t>
        </is>
      </c>
      <c r="F116" t="n">
        <v>3.9</v>
      </c>
      <c r="L116" s="7" t="n"/>
      <c r="M116" s="7" t="n"/>
      <c r="S116" s="7" t="n"/>
      <c r="T116" s="7" t="n"/>
      <c r="Z116" s="7" t="n"/>
      <c r="AA116" s="7" t="n"/>
      <c r="AE116" s="6" t="n"/>
      <c r="AF116" s="6" t="n"/>
      <c r="AG116" s="7" t="n"/>
      <c r="AH116" s="7" t="n"/>
      <c r="AN116" s="7" t="n"/>
      <c r="AO116" s="7" t="n"/>
      <c r="AU116" s="7" t="n"/>
      <c r="AV116" s="7" t="n"/>
      <c r="BB116" s="7" t="n"/>
      <c r="BC116" s="7" t="n"/>
      <c r="BI116" s="7" t="n"/>
      <c r="BJ116" s="7" t="n"/>
      <c r="BP116" s="7" t="n"/>
      <c r="BQ116" s="7" t="n"/>
      <c r="BW116" s="7" t="n"/>
      <c r="BX116" s="7" t="n"/>
    </row>
    <row r="117">
      <c r="A117" t="inlineStr">
        <is>
          <t>ANGI-128</t>
        </is>
      </c>
      <c r="B117" t="inlineStr">
        <is>
          <t>[BE] F-26 Add Roadmap Item with AI Generation</t>
        </is>
      </c>
      <c r="C117" t="inlineStr">
        <is>
          <t>Dũng</t>
        </is>
      </c>
      <c r="D117" t="inlineStr">
        <is>
          <t>29/10/2026</t>
        </is>
      </c>
      <c r="E117" t="inlineStr">
        <is>
          <t>01/11/2026</t>
        </is>
      </c>
      <c r="F117" t="n">
        <v>1.7</v>
      </c>
      <c r="L117" s="7" t="n"/>
      <c r="M117" s="7" t="n"/>
      <c r="S117" s="7" t="n"/>
      <c r="T117" s="7" t="n"/>
      <c r="Z117" s="7" t="n"/>
      <c r="AA117" s="7" t="n"/>
      <c r="AE117" s="6" t="n"/>
      <c r="AF117" s="6" t="n"/>
      <c r="AG117" s="6" t="n"/>
      <c r="AH117" s="6" t="n"/>
      <c r="AN117" s="7" t="n"/>
      <c r="AO117" s="7" t="n"/>
      <c r="AU117" s="7" t="n"/>
      <c r="AV117" s="7" t="n"/>
      <c r="BB117" s="7" t="n"/>
      <c r="BC117" s="7" t="n"/>
      <c r="BI117" s="7" t="n"/>
      <c r="BJ117" s="7" t="n"/>
      <c r="BP117" s="7" t="n"/>
      <c r="BQ117" s="7" t="n"/>
      <c r="BW117" s="7" t="n"/>
      <c r="BX117" s="7" t="n"/>
    </row>
    <row r="118">
      <c r="A118" t="inlineStr">
        <is>
          <t>ANGI-129</t>
        </is>
      </c>
      <c r="B118" t="inlineStr">
        <is>
          <t>[BE] F-24 Add Roadmap Item Manually</t>
        </is>
      </c>
      <c r="C118" t="inlineStr">
        <is>
          <t>Hưng</t>
        </is>
      </c>
      <c r="D118" t="inlineStr">
        <is>
          <t>30/10/2026</t>
        </is>
      </c>
      <c r="E118" t="inlineStr">
        <is>
          <t>30/10/2026</t>
        </is>
      </c>
      <c r="F118" t="n">
        <v>3.3</v>
      </c>
      <c r="L118" s="7" t="n"/>
      <c r="M118" s="7" t="n"/>
      <c r="S118" s="7" t="n"/>
      <c r="T118" s="7" t="n"/>
      <c r="Z118" s="7" t="n"/>
      <c r="AA118" s="7" t="n"/>
      <c r="AF118" s="6" t="n"/>
      <c r="AG118" s="7" t="n"/>
      <c r="AH118" s="7" t="n"/>
      <c r="AN118" s="7" t="n"/>
      <c r="AO118" s="7" t="n"/>
      <c r="AU118" s="7" t="n"/>
      <c r="AV118" s="7" t="n"/>
      <c r="BB118" s="7" t="n"/>
      <c r="BC118" s="7" t="n"/>
      <c r="BI118" s="7" t="n"/>
      <c r="BJ118" s="7" t="n"/>
      <c r="BP118" s="7" t="n"/>
      <c r="BQ118" s="7" t="n"/>
      <c r="BW118" s="7" t="n"/>
      <c r="BX118" s="7" t="n"/>
    </row>
    <row r="119">
      <c r="A119" t="inlineStr">
        <is>
          <t>ANGI-130</t>
        </is>
      </c>
      <c r="B119" t="inlineStr">
        <is>
          <t>[FE] F-24 Add Roadmap Item Manually</t>
        </is>
      </c>
      <c r="C119" t="inlineStr">
        <is>
          <t>Tuấn</t>
        </is>
      </c>
      <c r="D119" t="inlineStr">
        <is>
          <t>30/10/2026</t>
        </is>
      </c>
      <c r="E119" t="inlineStr">
        <is>
          <t>30/10/2026</t>
        </is>
      </c>
      <c r="F119" t="n">
        <v>5.4</v>
      </c>
      <c r="L119" s="7" t="n"/>
      <c r="M119" s="7" t="n"/>
      <c r="S119" s="7" t="n"/>
      <c r="T119" s="7" t="n"/>
      <c r="Z119" s="7" t="n"/>
      <c r="AA119" s="7" t="n"/>
      <c r="AF119" s="6" t="n"/>
      <c r="AG119" s="7" t="n"/>
      <c r="AH119" s="7" t="n"/>
      <c r="AN119" s="7" t="n"/>
      <c r="AO119" s="7" t="n"/>
      <c r="AU119" s="7" t="n"/>
      <c r="AV119" s="7" t="n"/>
      <c r="BB119" s="7" t="n"/>
      <c r="BC119" s="7" t="n"/>
      <c r="BI119" s="7" t="n"/>
      <c r="BJ119" s="7" t="n"/>
      <c r="BP119" s="7" t="n"/>
      <c r="BQ119" s="7" t="n"/>
      <c r="BW119" s="7" t="n"/>
      <c r="BX119" s="7" t="n"/>
    </row>
    <row r="120">
      <c r="A120" t="inlineStr">
        <is>
          <t>ANGI-131</t>
        </is>
      </c>
      <c r="B120" t="inlineStr">
        <is>
          <t>[BE] F-41 Comment Blog</t>
        </is>
      </c>
      <c r="C120" t="inlineStr">
        <is>
          <t>Trọng</t>
        </is>
      </c>
      <c r="D120" t="inlineStr">
        <is>
          <t>30/10/2026</t>
        </is>
      </c>
      <c r="E120" t="inlineStr">
        <is>
          <t>30/10/2026</t>
        </is>
      </c>
      <c r="F120" t="n">
        <v>3.2</v>
      </c>
      <c r="L120" s="7" t="n"/>
      <c r="M120" s="7" t="n"/>
      <c r="S120" s="7" t="n"/>
      <c r="T120" s="7" t="n"/>
      <c r="Z120" s="7" t="n"/>
      <c r="AA120" s="7" t="n"/>
      <c r="AF120" s="6" t="n"/>
      <c r="AG120" s="7" t="n"/>
      <c r="AH120" s="7" t="n"/>
      <c r="AN120" s="7" t="n"/>
      <c r="AO120" s="7" t="n"/>
      <c r="AU120" s="7" t="n"/>
      <c r="AV120" s="7" t="n"/>
      <c r="BB120" s="7" t="n"/>
      <c r="BC120" s="7" t="n"/>
      <c r="BI120" s="7" t="n"/>
      <c r="BJ120" s="7" t="n"/>
      <c r="BP120" s="7" t="n"/>
      <c r="BQ120" s="7" t="n"/>
      <c r="BW120" s="7" t="n"/>
      <c r="BX120" s="7" t="n"/>
    </row>
    <row r="121">
      <c r="A121" t="inlineStr">
        <is>
          <t>ANGI-132</t>
        </is>
      </c>
      <c r="B121" t="inlineStr">
        <is>
          <t>[BE] F-29 View Roadmap Item Detail</t>
        </is>
      </c>
      <c r="C121" t="inlineStr">
        <is>
          <t>Hưng</t>
        </is>
      </c>
      <c r="D121" t="inlineStr">
        <is>
          <t>30/10/2026</t>
        </is>
      </c>
      <c r="E121" t="inlineStr">
        <is>
          <t>31/10/2026</t>
        </is>
      </c>
      <c r="F121" t="n">
        <v>2.1</v>
      </c>
      <c r="L121" s="7" t="n"/>
      <c r="M121" s="7" t="n"/>
      <c r="S121" s="7" t="n"/>
      <c r="T121" s="7" t="n"/>
      <c r="Z121" s="7" t="n"/>
      <c r="AA121" s="7" t="n"/>
      <c r="AF121" s="6" t="n"/>
      <c r="AG121" s="6" t="n"/>
      <c r="AH121" s="7" t="n"/>
      <c r="AN121" s="7" t="n"/>
      <c r="AO121" s="7" t="n"/>
      <c r="AU121" s="7" t="n"/>
      <c r="AV121" s="7" t="n"/>
      <c r="BB121" s="7" t="n"/>
      <c r="BC121" s="7" t="n"/>
      <c r="BI121" s="7" t="n"/>
      <c r="BJ121" s="7" t="n"/>
      <c r="BP121" s="7" t="n"/>
      <c r="BQ121" s="7" t="n"/>
      <c r="BW121" s="7" t="n"/>
      <c r="BX121" s="7" t="n"/>
    </row>
    <row r="122">
      <c r="A122" t="inlineStr">
        <is>
          <t>ANGI-133</t>
        </is>
      </c>
      <c r="B122" t="inlineStr">
        <is>
          <t>[FE] F-29 View Roadmap Item Detail</t>
        </is>
      </c>
      <c r="C122" t="inlineStr">
        <is>
          <t>Tuấn</t>
        </is>
      </c>
      <c r="D122" t="inlineStr">
        <is>
          <t>30/10/2026</t>
        </is>
      </c>
      <c r="E122" t="inlineStr">
        <is>
          <t>31/10/2026</t>
        </is>
      </c>
      <c r="F122" t="n">
        <v>4.8</v>
      </c>
      <c r="L122" s="7" t="n"/>
      <c r="M122" s="7" t="n"/>
      <c r="S122" s="7" t="n"/>
      <c r="T122" s="7" t="n"/>
      <c r="Z122" s="7" t="n"/>
      <c r="AA122" s="7" t="n"/>
      <c r="AF122" s="6" t="n"/>
      <c r="AG122" s="6" t="n"/>
      <c r="AH122" s="7" t="n"/>
      <c r="AN122" s="7" t="n"/>
      <c r="AO122" s="7" t="n"/>
      <c r="AU122" s="7" t="n"/>
      <c r="AV122" s="7" t="n"/>
      <c r="BB122" s="7" t="n"/>
      <c r="BC122" s="7" t="n"/>
      <c r="BI122" s="7" t="n"/>
      <c r="BJ122" s="7" t="n"/>
      <c r="BP122" s="7" t="n"/>
      <c r="BQ122" s="7" t="n"/>
      <c r="BW122" s="7" t="n"/>
      <c r="BX122" s="7" t="n"/>
    </row>
    <row r="123">
      <c r="A123" t="inlineStr">
        <is>
          <t>ANGI-134</t>
        </is>
      </c>
      <c r="B123" t="inlineStr">
        <is>
          <t>[FE] F-38 Edit Blog</t>
        </is>
      </c>
      <c r="C123" t="inlineStr">
        <is>
          <t>Đức</t>
        </is>
      </c>
      <c r="D123" t="inlineStr">
        <is>
          <t>30/10/2026</t>
        </is>
      </c>
      <c r="E123" t="inlineStr">
        <is>
          <t>31/10/2026</t>
        </is>
      </c>
      <c r="F123" t="n">
        <v>5</v>
      </c>
      <c r="L123" s="7" t="n"/>
      <c r="M123" s="7" t="n"/>
      <c r="S123" s="7" t="n"/>
      <c r="T123" s="7" t="n"/>
      <c r="Z123" s="7" t="n"/>
      <c r="AA123" s="7" t="n"/>
      <c r="AF123" s="6" t="n"/>
      <c r="AG123" s="6" t="n"/>
      <c r="AH123" s="7" t="n"/>
      <c r="AN123" s="7" t="n"/>
      <c r="AO123" s="7" t="n"/>
      <c r="AU123" s="7" t="n"/>
      <c r="AV123" s="7" t="n"/>
      <c r="BB123" s="7" t="n"/>
      <c r="BC123" s="7" t="n"/>
      <c r="BI123" s="7" t="n"/>
      <c r="BJ123" s="7" t="n"/>
      <c r="BP123" s="7" t="n"/>
      <c r="BQ123" s="7" t="n"/>
      <c r="BW123" s="7" t="n"/>
      <c r="BX123" s="7" t="n"/>
    </row>
    <row r="124">
      <c r="A124" t="inlineStr">
        <is>
          <t>ANGI-135</t>
        </is>
      </c>
      <c r="B124" t="inlineStr">
        <is>
          <t>[BE] F-42 Report Blog</t>
        </is>
      </c>
      <c r="C124" t="inlineStr">
        <is>
          <t>Trọng</t>
        </is>
      </c>
      <c r="D124" t="inlineStr">
        <is>
          <t>30/10/2026</t>
        </is>
      </c>
      <c r="E124" t="inlineStr">
        <is>
          <t>31/10/2026</t>
        </is>
      </c>
      <c r="F124" t="n">
        <v>2.7</v>
      </c>
      <c r="L124" s="7" t="n"/>
      <c r="M124" s="7" t="n"/>
      <c r="S124" s="7" t="n"/>
      <c r="T124" s="7" t="n"/>
      <c r="Z124" s="7" t="n"/>
      <c r="AA124" s="7" t="n"/>
      <c r="AF124" s="6" t="n"/>
      <c r="AG124" s="6" t="n"/>
      <c r="AH124" s="7" t="n"/>
      <c r="AN124" s="7" t="n"/>
      <c r="AO124" s="7" t="n"/>
      <c r="AU124" s="7" t="n"/>
      <c r="AV124" s="7" t="n"/>
      <c r="BB124" s="7" t="n"/>
      <c r="BC124" s="7" t="n"/>
      <c r="BI124" s="7" t="n"/>
      <c r="BJ124" s="7" t="n"/>
      <c r="BP124" s="7" t="n"/>
      <c r="BQ124" s="7" t="n"/>
      <c r="BW124" s="7" t="n"/>
      <c r="BX124" s="7" t="n"/>
    </row>
    <row r="125">
      <c r="A125" t="inlineStr">
        <is>
          <t>ANGI-136</t>
        </is>
      </c>
      <c r="B125" t="inlineStr">
        <is>
          <t>[FE] F-39 Delete Blog</t>
        </is>
      </c>
      <c r="C125" t="inlineStr">
        <is>
          <t>Đức</t>
        </is>
      </c>
      <c r="D125" t="inlineStr">
        <is>
          <t>31/10/2026</t>
        </is>
      </c>
      <c r="E125" t="inlineStr">
        <is>
          <t>31/10/2026</t>
        </is>
      </c>
      <c r="F125" t="n">
        <v>4.6</v>
      </c>
      <c r="L125" s="7" t="n"/>
      <c r="M125" s="7" t="n"/>
      <c r="S125" s="7" t="n"/>
      <c r="T125" s="7" t="n"/>
      <c r="Z125" s="7" t="n"/>
      <c r="AA125" s="7" t="n"/>
      <c r="AG125" s="6" t="n"/>
      <c r="AH125" s="7" t="n"/>
      <c r="AN125" s="7" t="n"/>
      <c r="AO125" s="7" t="n"/>
      <c r="AU125" s="7" t="n"/>
      <c r="AV125" s="7" t="n"/>
      <c r="BB125" s="7" t="n"/>
      <c r="BC125" s="7" t="n"/>
      <c r="BI125" s="7" t="n"/>
      <c r="BJ125" s="7" t="n"/>
      <c r="BP125" s="7" t="n"/>
      <c r="BQ125" s="7" t="n"/>
      <c r="BW125" s="7" t="n"/>
      <c r="BX125" s="7" t="n"/>
    </row>
    <row r="126">
      <c r="A126" t="inlineStr">
        <is>
          <t>ANGI-137</t>
        </is>
      </c>
      <c r="B126" s="8" t="inlineStr">
        <is>
          <t>[BE] F-31 Feedback Restaurant</t>
        </is>
      </c>
      <c r="C126" t="inlineStr">
        <is>
          <t>Trọng</t>
        </is>
      </c>
      <c r="D126" t="inlineStr">
        <is>
          <t>31/10/2026</t>
        </is>
      </c>
      <c r="E126" t="inlineStr">
        <is>
          <t>01/11/2026</t>
        </is>
      </c>
      <c r="F126" t="n">
        <v>1.5</v>
      </c>
      <c r="L126" s="7" t="n"/>
      <c r="M126" s="7" t="n"/>
      <c r="S126" s="7" t="n"/>
      <c r="T126" s="7" t="n"/>
      <c r="Z126" s="7" t="n"/>
      <c r="AA126" s="7" t="n"/>
      <c r="AG126" s="9" t="n"/>
      <c r="AH126" s="9" t="n"/>
      <c r="AN126" s="7" t="n"/>
      <c r="AO126" s="7" t="n"/>
      <c r="AU126" s="7" t="n"/>
      <c r="AV126" s="7" t="n"/>
      <c r="BB126" s="7" t="n"/>
      <c r="BC126" s="7" t="n"/>
      <c r="BI126" s="7" t="n"/>
      <c r="BJ126" s="7" t="n"/>
      <c r="BP126" s="7" t="n"/>
      <c r="BQ126" s="7" t="n"/>
      <c r="BW126" s="7" t="n"/>
      <c r="BX126" s="7" t="n"/>
    </row>
    <row r="127">
      <c r="A127" t="inlineStr">
        <is>
          <t>ANGI-138</t>
        </is>
      </c>
      <c r="B127" t="inlineStr">
        <is>
          <t>[FE] F-26 Add Roadmap Item with AI Generation</t>
        </is>
      </c>
      <c r="C127" t="inlineStr">
        <is>
          <t>Tuấn</t>
        </is>
      </c>
      <c r="D127" t="inlineStr">
        <is>
          <t>31/10/2026</t>
        </is>
      </c>
      <c r="E127" t="inlineStr">
        <is>
          <t>01/11/2026</t>
        </is>
      </c>
      <c r="F127" t="n">
        <v>3.3</v>
      </c>
      <c r="L127" s="7" t="n"/>
      <c r="M127" s="7" t="n"/>
      <c r="S127" s="7" t="n"/>
      <c r="T127" s="7" t="n"/>
      <c r="Z127" s="7" t="n"/>
      <c r="AA127" s="7" t="n"/>
      <c r="AG127" s="6" t="n"/>
      <c r="AH127" s="6" t="n"/>
      <c r="AN127" s="7" t="n"/>
      <c r="AO127" s="7" t="n"/>
      <c r="AU127" s="7" t="n"/>
      <c r="AV127" s="7" t="n"/>
      <c r="BB127" s="7" t="n"/>
      <c r="BC127" s="7" t="n"/>
      <c r="BI127" s="7" t="n"/>
      <c r="BJ127" s="7" t="n"/>
      <c r="BP127" s="7" t="n"/>
      <c r="BQ127" s="7" t="n"/>
      <c r="BW127" s="7" t="n"/>
      <c r="BX127" s="7" t="n"/>
    </row>
    <row r="128">
      <c r="A128" t="inlineStr">
        <is>
          <t>ANGI-139</t>
        </is>
      </c>
      <c r="B128" t="inlineStr">
        <is>
          <t>[BE] F-27 Edit Roadmap Item</t>
        </is>
      </c>
      <c r="C128" t="inlineStr">
        <is>
          <t>Hưng</t>
        </is>
      </c>
      <c r="D128" t="inlineStr">
        <is>
          <t>31/10/2026</t>
        </is>
      </c>
      <c r="E128" t="inlineStr">
        <is>
          <t>01/11/2026</t>
        </is>
      </c>
      <c r="F128" t="n">
        <v>1.9</v>
      </c>
      <c r="L128" s="7" t="n"/>
      <c r="M128" s="7" t="n"/>
      <c r="S128" s="7" t="n"/>
      <c r="T128" s="7" t="n"/>
      <c r="Z128" s="7" t="n"/>
      <c r="AA128" s="7" t="n"/>
      <c r="AG128" s="6" t="n"/>
      <c r="AH128" s="6" t="n"/>
      <c r="AN128" s="7" t="n"/>
      <c r="AO128" s="7" t="n"/>
      <c r="AU128" s="7" t="n"/>
      <c r="AV128" s="7" t="n"/>
      <c r="BB128" s="7" t="n"/>
      <c r="BC128" s="7" t="n"/>
      <c r="BI128" s="7" t="n"/>
      <c r="BJ128" s="7" t="n"/>
      <c r="BP128" s="7" t="n"/>
      <c r="BQ128" s="7" t="n"/>
      <c r="BW128" s="7" t="n"/>
      <c r="BX128" s="7" t="n"/>
    </row>
    <row r="129">
      <c r="A129" t="inlineStr">
        <is>
          <t>ANGI-140</t>
        </is>
      </c>
      <c r="B129" t="inlineStr">
        <is>
          <t>[FE] F-40 Interact With Blog</t>
        </is>
      </c>
      <c r="C129" t="inlineStr">
        <is>
          <t>Đức</t>
        </is>
      </c>
      <c r="D129" t="inlineStr">
        <is>
          <t>31/10/2026</t>
        </is>
      </c>
      <c r="E129" t="inlineStr">
        <is>
          <t>01/11/2026</t>
        </is>
      </c>
      <c r="F129" t="n">
        <v>3.9</v>
      </c>
      <c r="L129" s="7" t="n"/>
      <c r="M129" s="7" t="n"/>
      <c r="S129" s="7" t="n"/>
      <c r="T129" s="7" t="n"/>
      <c r="Z129" s="7" t="n"/>
      <c r="AA129" s="7" t="n"/>
      <c r="AG129" s="6" t="n"/>
      <c r="AH129" s="6" t="n"/>
      <c r="AN129" s="7" t="n"/>
      <c r="AO129" s="7" t="n"/>
      <c r="AU129" s="7" t="n"/>
      <c r="AV129" s="7" t="n"/>
      <c r="BB129" s="7" t="n"/>
      <c r="BC129" s="7" t="n"/>
      <c r="BI129" s="7" t="n"/>
      <c r="BJ129" s="7" t="n"/>
      <c r="BP129" s="7" t="n"/>
      <c r="BQ129" s="7" t="n"/>
      <c r="BW129" s="7" t="n"/>
      <c r="BX129" s="7" t="n"/>
    </row>
    <row r="130">
      <c r="A130" t="inlineStr">
        <is>
          <t>ANGI-141</t>
        </is>
      </c>
      <c r="B130" s="8" t="inlineStr">
        <is>
          <t>[BE] F-23 Share My Roadmap</t>
        </is>
      </c>
      <c r="C130" t="inlineStr">
        <is>
          <t>Hưng</t>
        </is>
      </c>
      <c r="D130" t="inlineStr">
        <is>
          <t>01/11/2026</t>
        </is>
      </c>
      <c r="E130" t="inlineStr">
        <is>
          <t>01/11/2026</t>
        </is>
      </c>
      <c r="F130" t="n">
        <v>1</v>
      </c>
      <c r="L130" s="7" t="n"/>
      <c r="M130" s="7" t="n"/>
      <c r="S130" s="7" t="n"/>
      <c r="T130" s="7" t="n"/>
      <c r="Z130" s="7" t="n"/>
      <c r="AA130" s="7" t="n"/>
      <c r="AG130" s="7" t="n"/>
      <c r="AH130" s="9" t="n"/>
      <c r="AN130" s="7" t="n"/>
      <c r="AO130" s="7" t="n"/>
      <c r="AU130" s="7" t="n"/>
      <c r="AV130" s="7" t="n"/>
      <c r="BB130" s="7" t="n"/>
      <c r="BC130" s="7" t="n"/>
      <c r="BI130" s="7" t="n"/>
      <c r="BJ130" s="7" t="n"/>
      <c r="BP130" s="7" t="n"/>
      <c r="BQ130" s="7" t="n"/>
      <c r="BW130" s="7" t="n"/>
      <c r="BX130" s="7" t="n"/>
    </row>
    <row r="131">
      <c r="A131" t="inlineStr">
        <is>
          <t>ANGI-142</t>
        </is>
      </c>
      <c r="B131" s="8" t="inlineStr">
        <is>
          <t>[BE] F-32 Reply Feedback</t>
        </is>
      </c>
      <c r="C131" t="inlineStr">
        <is>
          <t>Trọng</t>
        </is>
      </c>
      <c r="D131" t="inlineStr">
        <is>
          <t>01/11/2026</t>
        </is>
      </c>
      <c r="E131" t="inlineStr">
        <is>
          <t>01/11/2026</t>
        </is>
      </c>
      <c r="F131" t="n">
        <v>1.5</v>
      </c>
      <c r="L131" s="7" t="n"/>
      <c r="M131" s="7" t="n"/>
      <c r="S131" s="7" t="n"/>
      <c r="T131" s="7" t="n"/>
      <c r="Z131" s="7" t="n"/>
      <c r="AA131" s="7" t="n"/>
      <c r="AG131" s="7" t="n"/>
      <c r="AH131" s="9" t="n"/>
      <c r="AN131" s="7" t="n"/>
      <c r="AO131" s="7" t="n"/>
      <c r="AU131" s="7" t="n"/>
      <c r="AV131" s="7" t="n"/>
      <c r="BB131" s="7" t="n"/>
      <c r="BC131" s="7" t="n"/>
      <c r="BI131" s="7" t="n"/>
      <c r="BJ131" s="7" t="n"/>
      <c r="BP131" s="7" t="n"/>
      <c r="BQ131" s="7" t="n"/>
      <c r="BW131" s="7" t="n"/>
      <c r="BX131" s="7" t="n"/>
    </row>
    <row r="132">
      <c r="A132" t="inlineStr">
        <is>
          <t>ANGI-143</t>
        </is>
      </c>
      <c r="B132" s="8" t="inlineStr">
        <is>
          <t>[BE] F-33 Report Restaurant</t>
        </is>
      </c>
      <c r="C132" t="inlineStr">
        <is>
          <t>Trọng</t>
        </is>
      </c>
      <c r="D132" t="inlineStr">
        <is>
          <t>01/11/2026</t>
        </is>
      </c>
      <c r="E132" t="inlineStr">
        <is>
          <t>01/11/2026</t>
        </is>
      </c>
      <c r="F132" t="n">
        <v>1</v>
      </c>
      <c r="L132" s="7" t="n"/>
      <c r="M132" s="7" t="n"/>
      <c r="S132" s="7" t="n"/>
      <c r="T132" s="7" t="n"/>
      <c r="Z132" s="7" t="n"/>
      <c r="AA132" s="7" t="n"/>
      <c r="AG132" s="7" t="n"/>
      <c r="AH132" s="9" t="n"/>
      <c r="AN132" s="7" t="n"/>
      <c r="AO132" s="7" t="n"/>
      <c r="AU132" s="7" t="n"/>
      <c r="AV132" s="7" t="n"/>
      <c r="BB132" s="7" t="n"/>
      <c r="BC132" s="7" t="n"/>
      <c r="BI132" s="7" t="n"/>
      <c r="BJ132" s="7" t="n"/>
      <c r="BP132" s="7" t="n"/>
      <c r="BQ132" s="7" t="n"/>
      <c r="BW132" s="7" t="n"/>
      <c r="BX132" s="7" t="n"/>
    </row>
    <row r="133">
      <c r="A133" t="inlineStr">
        <is>
          <t>ANGI-144</t>
        </is>
      </c>
      <c r="B133" t="inlineStr">
        <is>
          <t>[BE] F-28 Delete Roadmap Item</t>
        </is>
      </c>
      <c r="C133" t="inlineStr">
        <is>
          <t>Hưng</t>
        </is>
      </c>
      <c r="D133" t="inlineStr">
        <is>
          <t>01/11/2026</t>
        </is>
      </c>
      <c r="E133" t="inlineStr">
        <is>
          <t>01/11/2026</t>
        </is>
      </c>
      <c r="F133" t="n">
        <v>1.6</v>
      </c>
      <c r="L133" s="7" t="n"/>
      <c r="M133" s="7" t="n"/>
      <c r="S133" s="7" t="n"/>
      <c r="T133" s="7" t="n"/>
      <c r="Z133" s="7" t="n"/>
      <c r="AA133" s="7" t="n"/>
      <c r="AG133" s="7" t="n"/>
      <c r="AH133" s="6" t="n"/>
      <c r="AN133" s="7" t="n"/>
      <c r="AO133" s="7" t="n"/>
      <c r="AU133" s="7" t="n"/>
      <c r="AV133" s="7" t="n"/>
      <c r="BB133" s="7" t="n"/>
      <c r="BC133" s="7" t="n"/>
      <c r="BI133" s="7" t="n"/>
      <c r="BJ133" s="7" t="n"/>
      <c r="BP133" s="7" t="n"/>
      <c r="BQ133" s="7" t="n"/>
      <c r="BW133" s="7" t="n"/>
      <c r="BX133" s="7" t="n"/>
    </row>
    <row r="134">
      <c r="A134" t="inlineStr">
        <is>
          <t>ANGI-145</t>
        </is>
      </c>
      <c r="B134" t="inlineStr">
        <is>
          <t>[FE] F-41 Comment Blog</t>
        </is>
      </c>
      <c r="C134" t="inlineStr">
        <is>
          <t>Đức</t>
        </is>
      </c>
      <c r="D134" t="inlineStr">
        <is>
          <t>01/11/2026</t>
        </is>
      </c>
      <c r="E134" t="inlineStr">
        <is>
          <t>01/11/2026</t>
        </is>
      </c>
      <c r="F134" t="n">
        <v>3.2</v>
      </c>
      <c r="L134" s="7" t="n"/>
      <c r="M134" s="7" t="n"/>
      <c r="S134" s="7" t="n"/>
      <c r="T134" s="7" t="n"/>
      <c r="Z134" s="7" t="n"/>
      <c r="AA134" s="7" t="n"/>
      <c r="AG134" s="7" t="n"/>
      <c r="AH134" s="6" t="n"/>
      <c r="AN134" s="7" t="n"/>
      <c r="AO134" s="7" t="n"/>
      <c r="AU134" s="7" t="n"/>
      <c r="AV134" s="7" t="n"/>
      <c r="BB134" s="7" t="n"/>
      <c r="BC134" s="7" t="n"/>
      <c r="BI134" s="7" t="n"/>
      <c r="BJ134" s="7" t="n"/>
      <c r="BP134" s="7" t="n"/>
      <c r="BQ134" s="7" t="n"/>
      <c r="BW134" s="7" t="n"/>
      <c r="BX134" s="7" t="n"/>
    </row>
    <row r="135">
      <c r="A135" t="inlineStr">
        <is>
          <t>ANGI-146</t>
        </is>
      </c>
      <c r="B135" s="8" t="inlineStr">
        <is>
          <t>[BE] F-30 Rate Dish</t>
        </is>
      </c>
      <c r="C135" t="inlineStr">
        <is>
          <t>Dũng</t>
        </is>
      </c>
      <c r="D135" t="inlineStr">
        <is>
          <t>01/11/2026</t>
        </is>
      </c>
      <c r="E135" t="inlineStr">
        <is>
          <t>02/11/2026</t>
        </is>
      </c>
      <c r="F135" t="n">
        <v>1</v>
      </c>
      <c r="L135" s="7" t="n"/>
      <c r="M135" s="7" t="n"/>
      <c r="S135" s="7" t="n"/>
      <c r="T135" s="7" t="n"/>
      <c r="Z135" s="7" t="n"/>
      <c r="AA135" s="7" t="n"/>
      <c r="AG135" s="7" t="n"/>
      <c r="AH135" s="9" t="n"/>
      <c r="AI135" s="9" t="n"/>
      <c r="AN135" s="7" t="n"/>
      <c r="AO135" s="7" t="n"/>
      <c r="AU135" s="7" t="n"/>
      <c r="AV135" s="7" t="n"/>
      <c r="BB135" s="7" t="n"/>
      <c r="BC135" s="7" t="n"/>
      <c r="BI135" s="7" t="n"/>
      <c r="BJ135" s="7" t="n"/>
      <c r="BP135" s="7" t="n"/>
      <c r="BQ135" s="7" t="n"/>
      <c r="BW135" s="7" t="n"/>
      <c r="BX135" s="7" t="n"/>
    </row>
    <row r="136">
      <c r="A136" t="inlineStr">
        <is>
          <t>ANGI-147</t>
        </is>
      </c>
      <c r="B136" t="inlineStr">
        <is>
          <t>[FE] F-27 Edit Roadmap Item</t>
        </is>
      </c>
      <c r="C136" t="inlineStr">
        <is>
          <t>Tuấn</t>
        </is>
      </c>
      <c r="D136" t="inlineStr">
        <is>
          <t>01/11/2026</t>
        </is>
      </c>
      <c r="E136" t="inlineStr">
        <is>
          <t>02/11/2026</t>
        </is>
      </c>
      <c r="F136" t="n">
        <v>2.5</v>
      </c>
      <c r="L136" s="7" t="n"/>
      <c r="M136" s="7" t="n"/>
      <c r="S136" s="7" t="n"/>
      <c r="T136" s="7" t="n"/>
      <c r="Z136" s="7" t="n"/>
      <c r="AA136" s="7" t="n"/>
      <c r="AG136" s="7" t="n"/>
      <c r="AH136" s="6" t="n"/>
      <c r="AI136" s="6" t="n"/>
      <c r="AN136" s="7" t="n"/>
      <c r="AO136" s="7" t="n"/>
      <c r="AU136" s="7" t="n"/>
      <c r="AV136" s="7" t="n"/>
      <c r="BB136" s="7" t="n"/>
      <c r="BC136" s="7" t="n"/>
      <c r="BI136" s="7" t="n"/>
      <c r="BJ136" s="7" t="n"/>
      <c r="BP136" s="7" t="n"/>
      <c r="BQ136" s="7" t="n"/>
      <c r="BW136" s="7" t="n"/>
      <c r="BX136" s="7" t="n"/>
    </row>
    <row r="137">
      <c r="A137" t="inlineStr">
        <is>
          <t>ANGI-148</t>
        </is>
      </c>
      <c r="B137" t="inlineStr">
        <is>
          <t>[FE] F-42 Report Blog</t>
        </is>
      </c>
      <c r="C137" t="inlineStr">
        <is>
          <t>Đức</t>
        </is>
      </c>
      <c r="D137" t="inlineStr">
        <is>
          <t>01/11/2026</t>
        </is>
      </c>
      <c r="E137" t="inlineStr">
        <is>
          <t>02/11/2026</t>
        </is>
      </c>
      <c r="F137" t="n">
        <v>2.8</v>
      </c>
      <c r="L137" s="7" t="n"/>
      <c r="M137" s="7" t="n"/>
      <c r="S137" s="7" t="n"/>
      <c r="T137" s="7" t="n"/>
      <c r="Z137" s="7" t="n"/>
      <c r="AA137" s="7" t="n"/>
      <c r="AG137" s="7" t="n"/>
      <c r="AH137" s="6" t="n"/>
      <c r="AI137" s="6" t="n"/>
      <c r="AN137" s="7" t="n"/>
      <c r="AO137" s="7" t="n"/>
      <c r="AU137" s="7" t="n"/>
      <c r="AV137" s="7" t="n"/>
      <c r="BB137" s="7" t="n"/>
      <c r="BC137" s="7" t="n"/>
      <c r="BI137" s="7" t="n"/>
      <c r="BJ137" s="7" t="n"/>
      <c r="BP137" s="7" t="n"/>
      <c r="BQ137" s="7" t="n"/>
      <c r="BW137" s="7" t="n"/>
      <c r="BX137" s="7" t="n"/>
    </row>
    <row r="138">
      <c r="A138" t="inlineStr">
        <is>
          <t>ANGI-149</t>
        </is>
      </c>
      <c r="B138" t="inlineStr">
        <is>
          <t>[FE] F-28 Delete Roadmap Item</t>
        </is>
      </c>
      <c r="C138" t="inlineStr">
        <is>
          <t>Tuấn</t>
        </is>
      </c>
      <c r="D138" t="inlineStr">
        <is>
          <t>02/11/2026</t>
        </is>
      </c>
      <c r="E138" t="inlineStr">
        <is>
          <t>02/11/2026</t>
        </is>
      </c>
      <c r="F138" t="n">
        <v>2.2</v>
      </c>
      <c r="L138" s="7" t="n"/>
      <c r="M138" s="7" t="n"/>
      <c r="S138" s="7" t="n"/>
      <c r="T138" s="7" t="n"/>
      <c r="Z138" s="7" t="n"/>
      <c r="AA138" s="7" t="n"/>
      <c r="AG138" s="7" t="n"/>
      <c r="AH138" s="7" t="n"/>
      <c r="AI138" s="6" t="n"/>
      <c r="AN138" s="7" t="n"/>
      <c r="AO138" s="7" t="n"/>
      <c r="AU138" s="7" t="n"/>
      <c r="AV138" s="7" t="n"/>
      <c r="BB138" s="7" t="n"/>
      <c r="BC138" s="7" t="n"/>
      <c r="BI138" s="7" t="n"/>
      <c r="BJ138" s="7" t="n"/>
      <c r="BP138" s="7" t="n"/>
      <c r="BQ138" s="7" t="n"/>
      <c r="BW138" s="7" t="n"/>
      <c r="BX138" s="7" t="n"/>
    </row>
    <row r="139">
      <c r="A139" t="inlineStr">
        <is>
          <t>ANGI-150</t>
        </is>
      </c>
      <c r="B139" t="inlineStr">
        <is>
          <t>[FE] F-31 Feedback Restaurant</t>
        </is>
      </c>
      <c r="C139" t="inlineStr">
        <is>
          <t>Đức</t>
        </is>
      </c>
      <c r="D139" t="inlineStr">
        <is>
          <t>02/11/2026</t>
        </is>
      </c>
      <c r="E139" t="inlineStr">
        <is>
          <t>02/11/2026</t>
        </is>
      </c>
      <c r="F139" t="n">
        <v>2.1</v>
      </c>
      <c r="L139" s="7" t="n"/>
      <c r="M139" s="7" t="n"/>
      <c r="S139" s="7" t="n"/>
      <c r="T139" s="7" t="n"/>
      <c r="Z139" s="7" t="n"/>
      <c r="AA139" s="7" t="n"/>
      <c r="AG139" s="7" t="n"/>
      <c r="AH139" s="7" t="n"/>
      <c r="AI139" s="6" t="n"/>
      <c r="AN139" s="7" t="n"/>
      <c r="AO139" s="7" t="n"/>
      <c r="AU139" s="7" t="n"/>
      <c r="AV139" s="7" t="n"/>
      <c r="BB139" s="7" t="n"/>
      <c r="BC139" s="7" t="n"/>
      <c r="BI139" s="7" t="n"/>
      <c r="BJ139" s="7" t="n"/>
      <c r="BP139" s="7" t="n"/>
      <c r="BQ139" s="7" t="n"/>
      <c r="BW139" s="7" t="n"/>
      <c r="BX139" s="7" t="n"/>
    </row>
    <row r="140">
      <c r="A140" t="inlineStr">
        <is>
          <t>ANGI-151</t>
        </is>
      </c>
      <c r="B140" s="8" t="inlineStr">
        <is>
          <t>[FE] F-32 Reply Feedback</t>
        </is>
      </c>
      <c r="C140" t="inlineStr">
        <is>
          <t>Đức</t>
        </is>
      </c>
      <c r="D140" t="inlineStr">
        <is>
          <t>02/11/2026</t>
        </is>
      </c>
      <c r="E140" t="inlineStr">
        <is>
          <t>03/11/2026</t>
        </is>
      </c>
      <c r="F140" t="n">
        <v>1.4</v>
      </c>
      <c r="L140" s="7" t="n"/>
      <c r="M140" s="7" t="n"/>
      <c r="S140" s="7" t="n"/>
      <c r="T140" s="7" t="n"/>
      <c r="Z140" s="7" t="n"/>
      <c r="AA140" s="7" t="n"/>
      <c r="AG140" s="7" t="n"/>
      <c r="AH140" s="7" t="n"/>
      <c r="AI140" s="9" t="n"/>
      <c r="AJ140" s="9" t="n"/>
      <c r="AN140" s="7" t="n"/>
      <c r="AO140" s="7" t="n"/>
      <c r="AU140" s="7" t="n"/>
      <c r="AV140" s="7" t="n"/>
      <c r="BB140" s="7" t="n"/>
      <c r="BC140" s="7" t="n"/>
      <c r="BI140" s="7" t="n"/>
      <c r="BJ140" s="7" t="n"/>
      <c r="BP140" s="7" t="n"/>
      <c r="BQ140" s="7" t="n"/>
      <c r="BW140" s="7" t="n"/>
      <c r="BX140" s="7" t="n"/>
    </row>
    <row r="141">
      <c r="A141" t="inlineStr">
        <is>
          <t>ANGI-152</t>
        </is>
      </c>
      <c r="B141" t="inlineStr">
        <is>
          <t>[FE] F-30 Rate Dish</t>
        </is>
      </c>
      <c r="C141" t="inlineStr">
        <is>
          <t>Tuấn</t>
        </is>
      </c>
      <c r="D141" t="inlineStr">
        <is>
          <t>02/11/2026</t>
        </is>
      </c>
      <c r="E141" t="inlineStr">
        <is>
          <t>03/11/2026</t>
        </is>
      </c>
      <c r="F141" t="n">
        <v>1.6</v>
      </c>
      <c r="L141" s="7" t="n"/>
      <c r="M141" s="7" t="n"/>
      <c r="S141" s="7" t="n"/>
      <c r="T141" s="7" t="n"/>
      <c r="Z141" s="7" t="n"/>
      <c r="AA141" s="7" t="n"/>
      <c r="AG141" s="7" t="n"/>
      <c r="AH141" s="7" t="n"/>
      <c r="AI141" s="6" t="n"/>
      <c r="AJ141" s="6" t="n"/>
      <c r="AN141" s="7" t="n"/>
      <c r="AO141" s="7" t="n"/>
      <c r="AU141" s="7" t="n"/>
      <c r="AV141" s="7" t="n"/>
      <c r="BB141" s="7" t="n"/>
      <c r="BC141" s="7" t="n"/>
      <c r="BI141" s="7" t="n"/>
      <c r="BJ141" s="7" t="n"/>
      <c r="BP141" s="7" t="n"/>
      <c r="BQ141" s="7" t="n"/>
      <c r="BW141" s="7" t="n"/>
      <c r="BX141" s="7" t="n"/>
    </row>
    <row r="142">
      <c r="A142" t="inlineStr">
        <is>
          <t>ANGI-153</t>
        </is>
      </c>
      <c r="B142" s="8" t="inlineStr">
        <is>
          <t>[FE] F-23 Share My Roadmap</t>
        </is>
      </c>
      <c r="C142" t="inlineStr">
        <is>
          <t>Tuấn</t>
        </is>
      </c>
      <c r="D142" t="inlineStr">
        <is>
          <t>03/11/2026</t>
        </is>
      </c>
      <c r="E142" t="inlineStr">
        <is>
          <t>03/11/2026</t>
        </is>
      </c>
      <c r="F142" t="n">
        <v>1</v>
      </c>
      <c r="L142" s="7" t="n"/>
      <c r="M142" s="7" t="n"/>
      <c r="S142" s="7" t="n"/>
      <c r="T142" s="7" t="n"/>
      <c r="Z142" s="7" t="n"/>
      <c r="AA142" s="7" t="n"/>
      <c r="AG142" s="7" t="n"/>
      <c r="AH142" s="7" t="n"/>
      <c r="AJ142" s="9" t="n"/>
      <c r="AN142" s="7" t="n"/>
      <c r="AO142" s="7" t="n"/>
      <c r="AU142" s="7" t="n"/>
      <c r="AV142" s="7" t="n"/>
      <c r="BB142" s="7" t="n"/>
      <c r="BC142" s="7" t="n"/>
      <c r="BI142" s="7" t="n"/>
      <c r="BJ142" s="7" t="n"/>
      <c r="BP142" s="7" t="n"/>
      <c r="BQ142" s="7" t="n"/>
      <c r="BW142" s="7" t="n"/>
      <c r="BX142" s="7" t="n"/>
    </row>
    <row r="143">
      <c r="A143" t="inlineStr">
        <is>
          <t>ANGI-154</t>
        </is>
      </c>
      <c r="B143" s="8" t="inlineStr">
        <is>
          <t>[FE] F-33 Report Restaurant</t>
        </is>
      </c>
      <c r="C143" t="inlineStr">
        <is>
          <t>Đức</t>
        </is>
      </c>
      <c r="D143" t="inlineStr">
        <is>
          <t>03/11/2026</t>
        </is>
      </c>
      <c r="E143" t="inlineStr">
        <is>
          <t>03/11/2026</t>
        </is>
      </c>
      <c r="F143" t="n">
        <v>1</v>
      </c>
      <c r="L143" s="7" t="n"/>
      <c r="M143" s="7" t="n"/>
      <c r="S143" s="7" t="n"/>
      <c r="T143" s="7" t="n"/>
      <c r="Z143" s="7" t="n"/>
      <c r="AA143" s="7" t="n"/>
      <c r="AG143" s="7" t="n"/>
      <c r="AH143" s="7" t="n"/>
      <c r="AJ143" s="9" t="n"/>
      <c r="AN143" s="7" t="n"/>
      <c r="AO143" s="7" t="n"/>
      <c r="AU143" s="7" t="n"/>
      <c r="AV143" s="7" t="n"/>
      <c r="BB143" s="7" t="n"/>
      <c r="BC143" s="7" t="n"/>
      <c r="BI143" s="7" t="n"/>
      <c r="BJ143" s="7" t="n"/>
      <c r="BP143" s="7" t="n"/>
      <c r="BQ143" s="7" t="n"/>
      <c r="BW143" s="7" t="n"/>
      <c r="BX143" s="7" t="n"/>
    </row>
    <row r="144">
      <c r="A144" t="inlineStr">
        <is>
          <t>ANGI-155</t>
        </is>
      </c>
      <c r="B144" t="inlineStr">
        <is>
          <t>Unit Testing Report Iteration 2</t>
        </is>
      </c>
      <c r="C144" t="inlineStr">
        <is>
          <t>Trọng</t>
        </is>
      </c>
      <c r="D144" t="inlineStr">
        <is>
          <t>03/11/2026</t>
        </is>
      </c>
      <c r="E144" t="inlineStr">
        <is>
          <t>03/11/2026</t>
        </is>
      </c>
      <c r="F144" t="n">
        <v>40</v>
      </c>
      <c r="L144" s="7" t="n"/>
      <c r="M144" s="7" t="n"/>
      <c r="S144" s="7" t="n"/>
      <c r="T144" s="7" t="n"/>
      <c r="Z144" s="7" t="n"/>
      <c r="AA144" s="7" t="n"/>
      <c r="AG144" s="7" t="n"/>
      <c r="AH144" s="7" t="n"/>
      <c r="AJ144" s="6" t="n"/>
      <c r="AN144" s="7" t="n"/>
      <c r="AO144" s="7" t="n"/>
      <c r="AU144" s="7" t="n"/>
      <c r="AV144" s="7" t="n"/>
      <c r="BB144" s="7" t="n"/>
      <c r="BC144" s="7" t="n"/>
      <c r="BI144" s="7" t="n"/>
      <c r="BJ144" s="7" t="n"/>
      <c r="BP144" s="7" t="n"/>
      <c r="BQ144" s="7" t="n"/>
      <c r="BW144" s="7" t="n"/>
      <c r="BX144" s="7" t="n"/>
    </row>
    <row r="145">
      <c r="A145" t="inlineStr">
        <is>
          <t>ANGI-156</t>
        </is>
      </c>
      <c r="B145" s="8" t="inlineStr">
        <is>
          <t>Report 5: Integration Test Cases Iteration 2</t>
        </is>
      </c>
      <c r="C145" t="inlineStr">
        <is>
          <t>Đức</t>
        </is>
      </c>
      <c r="D145" t="inlineStr">
        <is>
          <t>03/11/2026</t>
        </is>
      </c>
      <c r="E145" t="inlineStr">
        <is>
          <t>04/11/2026</t>
        </is>
      </c>
      <c r="F145" t="n">
        <v>1</v>
      </c>
      <c r="L145" s="7" t="n"/>
      <c r="M145" s="7" t="n"/>
      <c r="S145" s="7" t="n"/>
      <c r="T145" s="7" t="n"/>
      <c r="Z145" s="7" t="n"/>
      <c r="AA145" s="7" t="n"/>
      <c r="AG145" s="7" t="n"/>
      <c r="AH145" s="7" t="n"/>
      <c r="AJ145" s="9" t="n"/>
      <c r="AK145" s="9" t="n"/>
      <c r="AN145" s="7" t="n"/>
      <c r="AO145" s="7" t="n"/>
      <c r="AU145" s="7" t="n"/>
      <c r="AV145" s="7" t="n"/>
      <c r="BB145" s="7" t="n"/>
      <c r="BC145" s="7" t="n"/>
      <c r="BI145" s="7" t="n"/>
      <c r="BJ145" s="7" t="n"/>
      <c r="BP145" s="7" t="n"/>
      <c r="BQ145" s="7" t="n"/>
      <c r="BW145" s="7" t="n"/>
      <c r="BX145" s="7" t="n"/>
    </row>
    <row r="146">
      <c r="A146" t="inlineStr">
        <is>
          <t>ANGI-157</t>
        </is>
      </c>
      <c r="B146" s="8" t="inlineStr">
        <is>
          <t>Code freeze + tích hợp Iteration 2: merge PR vào dev, chạy toàn hệ thống</t>
        </is>
      </c>
      <c r="C146" t="inlineStr">
        <is>
          <t>Dũng</t>
        </is>
      </c>
      <c r="D146" t="inlineStr">
        <is>
          <t>04/11/2026</t>
        </is>
      </c>
      <c r="E146" t="inlineStr">
        <is>
          <t>04/11/2026</t>
        </is>
      </c>
      <c r="F146" t="n">
        <v>1</v>
      </c>
      <c r="L146" s="7" t="n"/>
      <c r="M146" s="7" t="n"/>
      <c r="S146" s="7" t="n"/>
      <c r="T146" s="7" t="n"/>
      <c r="Z146" s="7" t="n"/>
      <c r="AA146" s="7" t="n"/>
      <c r="AG146" s="7" t="n"/>
      <c r="AH146" s="7" t="n"/>
      <c r="AK146" s="9" t="n"/>
      <c r="AN146" s="7" t="n"/>
      <c r="AO146" s="7" t="n"/>
      <c r="AU146" s="7" t="n"/>
      <c r="AV146" s="7" t="n"/>
      <c r="BB146" s="7" t="n"/>
      <c r="BC146" s="7" t="n"/>
      <c r="BI146" s="7" t="n"/>
      <c r="BJ146" s="7" t="n"/>
      <c r="BP146" s="7" t="n"/>
      <c r="BQ146" s="7" t="n"/>
      <c r="BW146" s="7" t="n"/>
      <c r="BX146" s="7" t="n"/>
    </row>
    <row r="147">
      <c r="A147" t="inlineStr">
        <is>
          <t>ANGI-158</t>
        </is>
      </c>
      <c r="B147" s="8" t="inlineStr">
        <is>
          <t>Report 5: Integration Test Report Iteration 2</t>
        </is>
      </c>
      <c r="C147" t="inlineStr">
        <is>
          <t>Trọng</t>
        </is>
      </c>
      <c r="D147" t="inlineStr">
        <is>
          <t>05/11/2026</t>
        </is>
      </c>
      <c r="E147" t="inlineStr">
        <is>
          <t>06/11/2026</t>
        </is>
      </c>
      <c r="F147" t="n">
        <v>1</v>
      </c>
      <c r="L147" s="7" t="n"/>
      <c r="M147" s="7" t="n"/>
      <c r="S147" s="7" t="n"/>
      <c r="T147" s="7" t="n"/>
      <c r="Z147" s="7" t="n"/>
      <c r="AA147" s="7" t="n"/>
      <c r="AG147" s="7" t="n"/>
      <c r="AH147" s="7" t="n"/>
      <c r="AL147" s="9" t="n"/>
      <c r="AM147" s="9" t="n"/>
      <c r="AN147" s="7" t="n"/>
      <c r="AO147" s="7" t="n"/>
      <c r="AU147" s="7" t="n"/>
      <c r="AV147" s="7" t="n"/>
      <c r="BB147" s="7" t="n"/>
      <c r="BC147" s="7" t="n"/>
      <c r="BI147" s="7" t="n"/>
      <c r="BJ147" s="7" t="n"/>
      <c r="BP147" s="7" t="n"/>
      <c r="BQ147" s="7" t="n"/>
      <c r="BW147" s="7" t="n"/>
      <c r="BX147" s="7" t="n"/>
    </row>
    <row r="148">
      <c r="A148" t="inlineStr">
        <is>
          <t>ANGI-159</t>
        </is>
      </c>
      <c r="B148" s="8" t="inlineStr">
        <is>
          <t>Fix bug integration test Iteration 2 (backend)</t>
        </is>
      </c>
      <c r="C148" t="inlineStr">
        <is>
          <t>Hưng</t>
        </is>
      </c>
      <c r="D148" t="inlineStr">
        <is>
          <t>05/11/2026</t>
        </is>
      </c>
      <c r="E148" t="inlineStr">
        <is>
          <t>07/11/2026</t>
        </is>
      </c>
      <c r="F148" t="n">
        <v>0</v>
      </c>
      <c r="L148" s="7" t="n"/>
      <c r="M148" s="7" t="n"/>
      <c r="S148" s="7" t="n"/>
      <c r="T148" s="7" t="n"/>
      <c r="Z148" s="7" t="n"/>
      <c r="AA148" s="7" t="n"/>
      <c r="AG148" s="7" t="n"/>
      <c r="AH148" s="7" t="n"/>
      <c r="AL148" s="9" t="n"/>
      <c r="AM148" s="9" t="n"/>
      <c r="AN148" s="9" t="n"/>
      <c r="AO148" s="7" t="n"/>
      <c r="AU148" s="7" t="n"/>
      <c r="AV148" s="7" t="n"/>
      <c r="BB148" s="7" t="n"/>
      <c r="BC148" s="7" t="n"/>
      <c r="BI148" s="7" t="n"/>
      <c r="BJ148" s="7" t="n"/>
      <c r="BP148" s="7" t="n"/>
      <c r="BQ148" s="7" t="n"/>
      <c r="BW148" s="7" t="n"/>
      <c r="BX148" s="7" t="n"/>
    </row>
    <row r="149">
      <c r="A149" t="inlineStr">
        <is>
          <t>ANGI-160</t>
        </is>
      </c>
      <c r="B149" s="8" t="inlineStr">
        <is>
          <t>Fix bug integration test Iteration 2 (backend)</t>
        </is>
      </c>
      <c r="C149" t="inlineStr">
        <is>
          <t>Trọng</t>
        </is>
      </c>
      <c r="D149" t="inlineStr">
        <is>
          <t>05/11/2026</t>
        </is>
      </c>
      <c r="E149" t="inlineStr">
        <is>
          <t>07/11/2026</t>
        </is>
      </c>
      <c r="F149" t="n">
        <v>0</v>
      </c>
      <c r="L149" s="7" t="n"/>
      <c r="M149" s="7" t="n"/>
      <c r="S149" s="7" t="n"/>
      <c r="T149" s="7" t="n"/>
      <c r="Z149" s="7" t="n"/>
      <c r="AA149" s="7" t="n"/>
      <c r="AG149" s="7" t="n"/>
      <c r="AH149" s="7" t="n"/>
      <c r="AL149" s="9" t="n"/>
      <c r="AM149" s="9" t="n"/>
      <c r="AN149" s="9" t="n"/>
      <c r="AO149" s="7" t="n"/>
      <c r="AU149" s="7" t="n"/>
      <c r="AV149" s="7" t="n"/>
      <c r="BB149" s="7" t="n"/>
      <c r="BC149" s="7" t="n"/>
      <c r="BI149" s="7" t="n"/>
      <c r="BJ149" s="7" t="n"/>
      <c r="BP149" s="7" t="n"/>
      <c r="BQ149" s="7" t="n"/>
      <c r="BW149" s="7" t="n"/>
      <c r="BX149" s="7" t="n"/>
    </row>
    <row r="150">
      <c r="A150" t="inlineStr">
        <is>
          <t>ANGI-161</t>
        </is>
      </c>
      <c r="B150" s="8" t="inlineStr">
        <is>
          <t>Fix bug integration test Iteration 2 (frontend)</t>
        </is>
      </c>
      <c r="C150" t="inlineStr">
        <is>
          <t>Tuấn</t>
        </is>
      </c>
      <c r="D150" t="inlineStr">
        <is>
          <t>05/11/2026</t>
        </is>
      </c>
      <c r="E150" t="inlineStr">
        <is>
          <t>07/11/2026</t>
        </is>
      </c>
      <c r="F150" t="n">
        <v>0</v>
      </c>
      <c r="L150" s="7" t="n"/>
      <c r="M150" s="7" t="n"/>
      <c r="S150" s="7" t="n"/>
      <c r="T150" s="7" t="n"/>
      <c r="Z150" s="7" t="n"/>
      <c r="AA150" s="7" t="n"/>
      <c r="AG150" s="7" t="n"/>
      <c r="AH150" s="7" t="n"/>
      <c r="AL150" s="9" t="n"/>
      <c r="AM150" s="9" t="n"/>
      <c r="AN150" s="9" t="n"/>
      <c r="AO150" s="7" t="n"/>
      <c r="AU150" s="7" t="n"/>
      <c r="AV150" s="7" t="n"/>
      <c r="BB150" s="7" t="n"/>
      <c r="BC150" s="7" t="n"/>
      <c r="BI150" s="7" t="n"/>
      <c r="BJ150" s="7" t="n"/>
      <c r="BP150" s="7" t="n"/>
      <c r="BQ150" s="7" t="n"/>
      <c r="BW150" s="7" t="n"/>
      <c r="BX150" s="7" t="n"/>
    </row>
    <row r="151">
      <c r="A151" t="inlineStr">
        <is>
          <t>ANGI-162</t>
        </is>
      </c>
      <c r="B151" s="8" t="inlineStr">
        <is>
          <t>Fix bug integration test Iteration 2 (frontend)</t>
        </is>
      </c>
      <c r="C151" t="inlineStr">
        <is>
          <t>Đức</t>
        </is>
      </c>
      <c r="D151" t="inlineStr">
        <is>
          <t>05/11/2026</t>
        </is>
      </c>
      <c r="E151" t="inlineStr">
        <is>
          <t>07/11/2026</t>
        </is>
      </c>
      <c r="F151" t="n">
        <v>0</v>
      </c>
      <c r="L151" s="7" t="n"/>
      <c r="M151" s="7" t="n"/>
      <c r="S151" s="7" t="n"/>
      <c r="T151" s="7" t="n"/>
      <c r="Z151" s="7" t="n"/>
      <c r="AA151" s="7" t="n"/>
      <c r="AG151" s="7" t="n"/>
      <c r="AH151" s="7" t="n"/>
      <c r="AL151" s="9" t="n"/>
      <c r="AM151" s="9" t="n"/>
      <c r="AN151" s="9" t="n"/>
      <c r="AO151" s="7" t="n"/>
      <c r="AU151" s="7" t="n"/>
      <c r="AV151" s="7" t="n"/>
      <c r="BB151" s="7" t="n"/>
      <c r="BC151" s="7" t="n"/>
      <c r="BI151" s="7" t="n"/>
      <c r="BJ151" s="7" t="n"/>
      <c r="BP151" s="7" t="n"/>
      <c r="BQ151" s="7" t="n"/>
      <c r="BW151" s="7" t="n"/>
      <c r="BX151" s="7" t="n"/>
    </row>
    <row r="152">
      <c r="A152" t="inlineStr">
        <is>
          <t>ANGI-163</t>
        </is>
      </c>
      <c r="B152" s="8" t="inlineStr">
        <is>
          <t>Fix bug integration test Iteration 2 (reco + hạ tầng)</t>
        </is>
      </c>
      <c r="C152" t="inlineStr">
        <is>
          <t>Dũng</t>
        </is>
      </c>
      <c r="D152" t="inlineStr">
        <is>
          <t>05/11/2026</t>
        </is>
      </c>
      <c r="E152" t="inlineStr">
        <is>
          <t>07/11/2026</t>
        </is>
      </c>
      <c r="F152" t="n">
        <v>0</v>
      </c>
      <c r="L152" s="7" t="n"/>
      <c r="M152" s="7" t="n"/>
      <c r="S152" s="7" t="n"/>
      <c r="T152" s="7" t="n"/>
      <c r="Z152" s="7" t="n"/>
      <c r="AA152" s="7" t="n"/>
      <c r="AG152" s="7" t="n"/>
      <c r="AH152" s="7" t="n"/>
      <c r="AL152" s="9" t="n"/>
      <c r="AM152" s="9" t="n"/>
      <c r="AN152" s="9" t="n"/>
      <c r="AO152" s="7" t="n"/>
      <c r="AU152" s="7" t="n"/>
      <c r="AV152" s="7" t="n"/>
      <c r="BB152" s="7" t="n"/>
      <c r="BC152" s="7" t="n"/>
      <c r="BI152" s="7" t="n"/>
      <c r="BJ152" s="7" t="n"/>
      <c r="BP152" s="7" t="n"/>
      <c r="BQ152" s="7" t="n"/>
      <c r="BW152" s="7" t="n"/>
      <c r="BX152" s="7" t="n"/>
    </row>
    <row r="153">
      <c r="A153" t="inlineStr">
        <is>
          <t>ANGI-164</t>
        </is>
      </c>
      <c r="B153" t="inlineStr">
        <is>
          <t>Wireframe/mockup các màn hình Iteration 3</t>
        </is>
      </c>
      <c r="C153" t="inlineStr">
        <is>
          <t>Đức</t>
        </is>
      </c>
      <c r="D153" t="inlineStr">
        <is>
          <t>05/11/2026</t>
        </is>
      </c>
      <c r="E153" t="inlineStr">
        <is>
          <t>08/11/2026</t>
        </is>
      </c>
      <c r="F153" t="n">
        <v>8</v>
      </c>
      <c r="L153" s="7" t="n"/>
      <c r="M153" s="7" t="n"/>
      <c r="S153" s="7" t="n"/>
      <c r="T153" s="7" t="n"/>
      <c r="Z153" s="7" t="n"/>
      <c r="AA153" s="7" t="n"/>
      <c r="AG153" s="7" t="n"/>
      <c r="AH153" s="7" t="n"/>
      <c r="AL153" s="6" t="n"/>
      <c r="AM153" s="6" t="n"/>
      <c r="AN153" s="6" t="n"/>
      <c r="AO153" s="6" t="n"/>
      <c r="AU153" s="7" t="n"/>
      <c r="AV153" s="7" t="n"/>
      <c r="BB153" s="7" t="n"/>
      <c r="BC153" s="7" t="n"/>
      <c r="BI153" s="7" t="n"/>
      <c r="BJ153" s="7" t="n"/>
      <c r="BP153" s="7" t="n"/>
      <c r="BQ153" s="7" t="n"/>
      <c r="BW153" s="7" t="n"/>
      <c r="BX153" s="7" t="n"/>
    </row>
    <row r="154">
      <c r="A154" t="inlineStr">
        <is>
          <t>ANGI-165</t>
        </is>
      </c>
      <c r="B154" t="inlineStr">
        <is>
          <t>Report 3: SRS v1.2 (Detailed Requirements Iteration 3)</t>
        </is>
      </c>
      <c r="C154" t="inlineStr">
        <is>
          <t>Dũng</t>
        </is>
      </c>
      <c r="D154" t="inlineStr">
        <is>
          <t>06/11/2026</t>
        </is>
      </c>
      <c r="E154" t="inlineStr">
        <is>
          <t>07/11/2026</t>
        </is>
      </c>
      <c r="F154" t="n">
        <v>36</v>
      </c>
      <c r="L154" s="7" t="n"/>
      <c r="M154" s="7" t="n"/>
      <c r="S154" s="7" t="n"/>
      <c r="T154" s="7" t="n"/>
      <c r="Z154" s="7" t="n"/>
      <c r="AA154" s="7" t="n"/>
      <c r="AG154" s="7" t="n"/>
      <c r="AH154" s="7" t="n"/>
      <c r="AM154" s="6" t="n"/>
      <c r="AN154" s="6" t="n"/>
      <c r="AO154" s="7" t="n"/>
      <c r="AU154" s="7" t="n"/>
      <c r="AV154" s="7" t="n"/>
      <c r="BB154" s="7" t="n"/>
      <c r="BC154" s="7" t="n"/>
      <c r="BI154" s="7" t="n"/>
      <c r="BJ154" s="7" t="n"/>
      <c r="BP154" s="7" t="n"/>
      <c r="BQ154" s="7" t="n"/>
      <c r="BW154" s="7" t="n"/>
      <c r="BX154" s="7" t="n"/>
    </row>
    <row r="155">
      <c r="A155" t="inlineStr">
        <is>
          <t>ANGI-166</t>
        </is>
      </c>
      <c r="B155" s="8" t="inlineStr">
        <is>
          <t>Software Package Version 2 (deploy + release note)</t>
        </is>
      </c>
      <c r="C155" t="inlineStr">
        <is>
          <t>Dũng</t>
        </is>
      </c>
      <c r="D155" t="inlineStr">
        <is>
          <t>08/11/2026</t>
        </is>
      </c>
      <c r="E155" t="inlineStr">
        <is>
          <t>08/11/2026</t>
        </is>
      </c>
      <c r="F155" t="n">
        <v>0</v>
      </c>
      <c r="L155" s="7" t="n"/>
      <c r="M155" s="7" t="n"/>
      <c r="S155" s="7" t="n"/>
      <c r="T155" s="7" t="n"/>
      <c r="Z155" s="7" t="n"/>
      <c r="AA155" s="7" t="n"/>
      <c r="AG155" s="7" t="n"/>
      <c r="AH155" s="7" t="n"/>
      <c r="AN155" s="7" t="n"/>
      <c r="AO155" s="9" t="n"/>
      <c r="AU155" s="7" t="n"/>
      <c r="AV155" s="7" t="n"/>
      <c r="BB155" s="7" t="n"/>
      <c r="BC155" s="7" t="n"/>
      <c r="BI155" s="7" t="n"/>
      <c r="BJ155" s="7" t="n"/>
      <c r="BP155" s="7" t="n"/>
      <c r="BQ155" s="7" t="n"/>
      <c r="BW155" s="7" t="n"/>
      <c r="BX155" s="7" t="n"/>
    </row>
    <row r="156">
      <c r="A156" t="inlineStr">
        <is>
          <t>ANGI-167</t>
        </is>
      </c>
      <c r="B156" t="inlineStr">
        <is>
          <t>[BE] F-52 Moderate User</t>
        </is>
      </c>
      <c r="C156" t="inlineStr">
        <is>
          <t>Trọng</t>
        </is>
      </c>
      <c r="D156" t="inlineStr">
        <is>
          <t>09/11/2026</t>
        </is>
      </c>
      <c r="E156" t="inlineStr">
        <is>
          <t>09/11/2026</t>
        </is>
      </c>
      <c r="F156" t="n">
        <v>7.4</v>
      </c>
      <c r="L156" s="7" t="n"/>
      <c r="M156" s="7" t="n"/>
      <c r="S156" s="7" t="n"/>
      <c r="T156" s="7" t="n"/>
      <c r="Z156" s="7" t="n"/>
      <c r="AA156" s="7" t="n"/>
      <c r="AG156" s="7" t="n"/>
      <c r="AH156" s="7" t="n"/>
      <c r="AN156" s="7" t="n"/>
      <c r="AO156" s="7" t="n"/>
      <c r="AP156" s="6" t="n"/>
      <c r="AU156" s="7" t="n"/>
      <c r="AV156" s="7" t="n"/>
      <c r="BB156" s="7" t="n"/>
      <c r="BC156" s="7" t="n"/>
      <c r="BI156" s="7" t="n"/>
      <c r="BJ156" s="7" t="n"/>
      <c r="BP156" s="7" t="n"/>
      <c r="BQ156" s="7" t="n"/>
      <c r="BW156" s="7" t="n"/>
      <c r="BX156" s="7" t="n"/>
    </row>
    <row r="157">
      <c r="A157" t="inlineStr">
        <is>
          <t>ANGI-168</t>
        </is>
      </c>
      <c r="B157" t="inlineStr">
        <is>
          <t>[FE] F-52 Moderate User</t>
        </is>
      </c>
      <c r="C157" t="inlineStr">
        <is>
          <t>Đức</t>
        </is>
      </c>
      <c r="D157" t="inlineStr">
        <is>
          <t>09/11/2026</t>
        </is>
      </c>
      <c r="E157" t="inlineStr">
        <is>
          <t>10/11/2026</t>
        </is>
      </c>
      <c r="F157" t="n">
        <v>8.6</v>
      </c>
      <c r="L157" s="7" t="n"/>
      <c r="M157" s="7" t="n"/>
      <c r="S157" s="7" t="n"/>
      <c r="T157" s="7" t="n"/>
      <c r="Z157" s="7" t="n"/>
      <c r="AA157" s="7" t="n"/>
      <c r="AG157" s="7" t="n"/>
      <c r="AH157" s="7" t="n"/>
      <c r="AN157" s="7" t="n"/>
      <c r="AO157" s="7" t="n"/>
      <c r="AP157" s="6" t="n"/>
      <c r="AQ157" s="6" t="n"/>
      <c r="AU157" s="7" t="n"/>
      <c r="AV157" s="7" t="n"/>
      <c r="BB157" s="7" t="n"/>
      <c r="BC157" s="7" t="n"/>
      <c r="BI157" s="7" t="n"/>
      <c r="BJ157" s="7" t="n"/>
      <c r="BP157" s="7" t="n"/>
      <c r="BQ157" s="7" t="n"/>
      <c r="BW157" s="7" t="n"/>
      <c r="BX157" s="7" t="n"/>
    </row>
    <row r="158">
      <c r="A158" t="inlineStr">
        <is>
          <t>ANGI-169</t>
        </is>
      </c>
      <c r="B158" t="inlineStr">
        <is>
          <t>[BE] F-60 Handle Social Report</t>
        </is>
      </c>
      <c r="C158" t="inlineStr">
        <is>
          <t>Trọng</t>
        </is>
      </c>
      <c r="D158" t="inlineStr">
        <is>
          <t>09/11/2026</t>
        </is>
      </c>
      <c r="E158" t="inlineStr">
        <is>
          <t>10/11/2026</t>
        </is>
      </c>
      <c r="F158" t="n">
        <v>6.4</v>
      </c>
      <c r="L158" s="7" t="n"/>
      <c r="M158" s="7" t="n"/>
      <c r="S158" s="7" t="n"/>
      <c r="T158" s="7" t="n"/>
      <c r="Z158" s="7" t="n"/>
      <c r="AA158" s="7" t="n"/>
      <c r="AG158" s="7" t="n"/>
      <c r="AH158" s="7" t="n"/>
      <c r="AN158" s="7" t="n"/>
      <c r="AO158" s="7" t="n"/>
      <c r="AP158" s="6" t="n"/>
      <c r="AQ158" s="6" t="n"/>
      <c r="AU158" s="7" t="n"/>
      <c r="AV158" s="7" t="n"/>
      <c r="BB158" s="7" t="n"/>
      <c r="BC158" s="7" t="n"/>
      <c r="BI158" s="7" t="n"/>
      <c r="BJ158" s="7" t="n"/>
      <c r="BP158" s="7" t="n"/>
      <c r="BQ158" s="7" t="n"/>
      <c r="BW158" s="7" t="n"/>
      <c r="BX158" s="7" t="n"/>
    </row>
    <row r="159">
      <c r="A159" t="inlineStr">
        <is>
          <t>ANGI-170</t>
        </is>
      </c>
      <c r="B159" t="inlineStr">
        <is>
          <t>[BE] F-66 Manage Permission</t>
        </is>
      </c>
      <c r="C159" t="inlineStr">
        <is>
          <t>Hưng</t>
        </is>
      </c>
      <c r="D159" t="inlineStr">
        <is>
          <t>09/11/2026</t>
        </is>
      </c>
      <c r="E159" t="inlineStr">
        <is>
          <t>10/11/2026</t>
        </is>
      </c>
      <c r="F159" t="n">
        <v>4.7</v>
      </c>
      <c r="L159" s="7" t="n"/>
      <c r="M159" s="7" t="n"/>
      <c r="S159" s="7" t="n"/>
      <c r="T159" s="7" t="n"/>
      <c r="Z159" s="7" t="n"/>
      <c r="AA159" s="7" t="n"/>
      <c r="AG159" s="7" t="n"/>
      <c r="AH159" s="7" t="n"/>
      <c r="AN159" s="7" t="n"/>
      <c r="AO159" s="7" t="n"/>
      <c r="AP159" s="6" t="n"/>
      <c r="AQ159" s="6" t="n"/>
      <c r="AU159" s="7" t="n"/>
      <c r="AV159" s="7" t="n"/>
      <c r="BB159" s="7" t="n"/>
      <c r="BC159" s="7" t="n"/>
      <c r="BI159" s="7" t="n"/>
      <c r="BJ159" s="7" t="n"/>
      <c r="BP159" s="7" t="n"/>
      <c r="BQ159" s="7" t="n"/>
      <c r="BW159" s="7" t="n"/>
      <c r="BX159" s="7" t="n"/>
    </row>
    <row r="160">
      <c r="A160" t="inlineStr">
        <is>
          <t>ANGI-171</t>
        </is>
      </c>
      <c r="B160" t="inlineStr">
        <is>
          <t>[FE] F-66 Manage Permission</t>
        </is>
      </c>
      <c r="C160" t="inlineStr">
        <is>
          <t>Tuấn</t>
        </is>
      </c>
      <c r="D160" t="inlineStr">
        <is>
          <t>09/11/2026</t>
        </is>
      </c>
      <c r="E160" t="inlineStr">
        <is>
          <t>10/11/2026</t>
        </is>
      </c>
      <c r="F160" t="n">
        <v>8.800000000000001</v>
      </c>
      <c r="L160" s="7" t="n"/>
      <c r="M160" s="7" t="n"/>
      <c r="S160" s="7" t="n"/>
      <c r="T160" s="7" t="n"/>
      <c r="Z160" s="7" t="n"/>
      <c r="AA160" s="7" t="n"/>
      <c r="AG160" s="7" t="n"/>
      <c r="AH160" s="7" t="n"/>
      <c r="AN160" s="7" t="n"/>
      <c r="AO160" s="7" t="n"/>
      <c r="AP160" s="6" t="n"/>
      <c r="AQ160" s="6" t="n"/>
      <c r="AU160" s="7" t="n"/>
      <c r="AV160" s="7" t="n"/>
      <c r="BB160" s="7" t="n"/>
      <c r="BC160" s="7" t="n"/>
      <c r="BI160" s="7" t="n"/>
      <c r="BJ160" s="7" t="n"/>
      <c r="BP160" s="7" t="n"/>
      <c r="BQ160" s="7" t="n"/>
      <c r="BW160" s="7" t="n"/>
      <c r="BX160" s="7" t="n"/>
    </row>
    <row r="161">
      <c r="A161" t="inlineStr">
        <is>
          <t>ANGI-172</t>
        </is>
      </c>
      <c r="B161" t="inlineStr">
        <is>
          <t>Reco P3: Exploration UCB + Recommend score</t>
        </is>
      </c>
      <c r="C161" t="inlineStr">
        <is>
          <t>Dũng</t>
        </is>
      </c>
      <c r="D161" t="inlineStr">
        <is>
          <t>09/11/2026</t>
        </is>
      </c>
      <c r="E161" t="inlineStr">
        <is>
          <t>12/11/2026</t>
        </is>
      </c>
      <c r="F161" t="n">
        <v>4.9</v>
      </c>
      <c r="L161" s="7" t="n"/>
      <c r="M161" s="7" t="n"/>
      <c r="S161" s="7" t="n"/>
      <c r="T161" s="7" t="n"/>
      <c r="Z161" s="7" t="n"/>
      <c r="AA161" s="7" t="n"/>
      <c r="AG161" s="7" t="n"/>
      <c r="AH161" s="7" t="n"/>
      <c r="AN161" s="7" t="n"/>
      <c r="AO161" s="7" t="n"/>
      <c r="AP161" s="6" t="n"/>
      <c r="AQ161" s="6" t="n"/>
      <c r="AR161" s="6" t="n"/>
      <c r="AS161" s="6" t="n"/>
      <c r="AU161" s="7" t="n"/>
      <c r="AV161" s="7" t="n"/>
      <c r="BB161" s="7" t="n"/>
      <c r="BC161" s="7" t="n"/>
      <c r="BI161" s="7" t="n"/>
      <c r="BJ161" s="7" t="n"/>
      <c r="BP161" s="7" t="n"/>
      <c r="BQ161" s="7" t="n"/>
      <c r="BW161" s="7" t="n"/>
      <c r="BX161" s="7" t="n"/>
    </row>
    <row r="162">
      <c r="A162" t="inlineStr">
        <is>
          <t>ANGI-173</t>
        </is>
      </c>
      <c r="B162" t="inlineStr">
        <is>
          <t>[BE] F-53 Suspend/Ban User</t>
        </is>
      </c>
      <c r="C162" t="inlineStr">
        <is>
          <t>Trọng</t>
        </is>
      </c>
      <c r="D162" t="inlineStr">
        <is>
          <t>10/11/2026</t>
        </is>
      </c>
      <c r="E162" t="inlineStr">
        <is>
          <t>11/11/2026</t>
        </is>
      </c>
      <c r="F162" t="n">
        <v>5.5</v>
      </c>
      <c r="L162" s="7" t="n"/>
      <c r="M162" s="7" t="n"/>
      <c r="S162" s="7" t="n"/>
      <c r="T162" s="7" t="n"/>
      <c r="Z162" s="7" t="n"/>
      <c r="AA162" s="7" t="n"/>
      <c r="AG162" s="7" t="n"/>
      <c r="AH162" s="7" t="n"/>
      <c r="AN162" s="7" t="n"/>
      <c r="AO162" s="7" t="n"/>
      <c r="AQ162" s="6" t="n"/>
      <c r="AR162" s="6" t="n"/>
      <c r="AU162" s="7" t="n"/>
      <c r="AV162" s="7" t="n"/>
      <c r="BB162" s="7" t="n"/>
      <c r="BC162" s="7" t="n"/>
      <c r="BI162" s="7" t="n"/>
      <c r="BJ162" s="7" t="n"/>
      <c r="BP162" s="7" t="n"/>
      <c r="BQ162" s="7" t="n"/>
      <c r="BW162" s="7" t="n"/>
      <c r="BX162" s="7" t="n"/>
    </row>
    <row r="163">
      <c r="A163" t="inlineStr">
        <is>
          <t>ANGI-174</t>
        </is>
      </c>
      <c r="B163" t="inlineStr">
        <is>
          <t>[FE] F-60 Handle Social Report</t>
        </is>
      </c>
      <c r="C163" t="inlineStr">
        <is>
          <t>Đức</t>
        </is>
      </c>
      <c r="D163" t="inlineStr">
        <is>
          <t>10/11/2026</t>
        </is>
      </c>
      <c r="E163" t="inlineStr">
        <is>
          <t>11/11/2026</t>
        </is>
      </c>
      <c r="F163" t="n">
        <v>7.2</v>
      </c>
      <c r="L163" s="7" t="n"/>
      <c r="M163" s="7" t="n"/>
      <c r="S163" s="7" t="n"/>
      <c r="T163" s="7" t="n"/>
      <c r="Z163" s="7" t="n"/>
      <c r="AA163" s="7" t="n"/>
      <c r="AG163" s="7" t="n"/>
      <c r="AH163" s="7" t="n"/>
      <c r="AN163" s="7" t="n"/>
      <c r="AO163" s="7" t="n"/>
      <c r="AQ163" s="6" t="n"/>
      <c r="AR163" s="6" t="n"/>
      <c r="AU163" s="7" t="n"/>
      <c r="AV163" s="7" t="n"/>
      <c r="BB163" s="7" t="n"/>
      <c r="BC163" s="7" t="n"/>
      <c r="BI163" s="7" t="n"/>
      <c r="BJ163" s="7" t="n"/>
      <c r="BP163" s="7" t="n"/>
      <c r="BQ163" s="7" t="n"/>
      <c r="BW163" s="7" t="n"/>
      <c r="BX163" s="7" t="n"/>
    </row>
    <row r="164">
      <c r="A164" t="inlineStr">
        <is>
          <t>ANGI-175</t>
        </is>
      </c>
      <c r="B164" t="inlineStr">
        <is>
          <t>[BE] F-65 Manage Mod</t>
        </is>
      </c>
      <c r="C164" t="inlineStr">
        <is>
          <t>Hưng</t>
        </is>
      </c>
      <c r="D164" t="inlineStr">
        <is>
          <t>10/11/2026</t>
        </is>
      </c>
      <c r="E164" t="inlineStr">
        <is>
          <t>11/11/2026</t>
        </is>
      </c>
      <c r="F164" t="n">
        <v>5.3</v>
      </c>
      <c r="L164" s="7" t="n"/>
      <c r="M164" s="7" t="n"/>
      <c r="S164" s="7" t="n"/>
      <c r="T164" s="7" t="n"/>
      <c r="Z164" s="7" t="n"/>
      <c r="AA164" s="7" t="n"/>
      <c r="AG164" s="7" t="n"/>
      <c r="AH164" s="7" t="n"/>
      <c r="AN164" s="7" t="n"/>
      <c r="AO164" s="7" t="n"/>
      <c r="AQ164" s="6" t="n"/>
      <c r="AR164" s="6" t="n"/>
      <c r="AU164" s="7" t="n"/>
      <c r="AV164" s="7" t="n"/>
      <c r="BB164" s="7" t="n"/>
      <c r="BC164" s="7" t="n"/>
      <c r="BI164" s="7" t="n"/>
      <c r="BJ164" s="7" t="n"/>
      <c r="BP164" s="7" t="n"/>
      <c r="BQ164" s="7" t="n"/>
      <c r="BW164" s="7" t="n"/>
      <c r="BX164" s="7" t="n"/>
    </row>
    <row r="165">
      <c r="A165" t="inlineStr">
        <is>
          <t>ANGI-176</t>
        </is>
      </c>
      <c r="B165" t="inlineStr">
        <is>
          <t>[FE] F-65 Manage Mod</t>
        </is>
      </c>
      <c r="C165" t="inlineStr">
        <is>
          <t>Tuấn</t>
        </is>
      </c>
      <c r="D165" t="inlineStr">
        <is>
          <t>10/11/2026</t>
        </is>
      </c>
      <c r="E165" t="inlineStr">
        <is>
          <t>11/11/2026</t>
        </is>
      </c>
      <c r="F165" t="n">
        <v>7.7</v>
      </c>
      <c r="L165" s="7" t="n"/>
      <c r="M165" s="7" t="n"/>
      <c r="S165" s="7" t="n"/>
      <c r="T165" s="7" t="n"/>
      <c r="Z165" s="7" t="n"/>
      <c r="AA165" s="7" t="n"/>
      <c r="AG165" s="7" t="n"/>
      <c r="AH165" s="7" t="n"/>
      <c r="AN165" s="7" t="n"/>
      <c r="AO165" s="7" t="n"/>
      <c r="AQ165" s="6" t="n"/>
      <c r="AR165" s="6" t="n"/>
      <c r="AU165" s="7" t="n"/>
      <c r="AV165" s="7" t="n"/>
      <c r="BB165" s="7" t="n"/>
      <c r="BC165" s="7" t="n"/>
      <c r="BI165" s="7" t="n"/>
      <c r="BJ165" s="7" t="n"/>
      <c r="BP165" s="7" t="n"/>
      <c r="BQ165" s="7" t="n"/>
      <c r="BW165" s="7" t="n"/>
      <c r="BX165" s="7" t="n"/>
    </row>
    <row r="166">
      <c r="A166" t="inlineStr">
        <is>
          <t>ANGI-177</t>
        </is>
      </c>
      <c r="B166" t="inlineStr">
        <is>
          <t>Report 4: SDS v1.3</t>
        </is>
      </c>
      <c r="C166" t="inlineStr">
        <is>
          <t>Dũng</t>
        </is>
      </c>
      <c r="D166" t="inlineStr">
        <is>
          <t>10/11/2026</t>
        </is>
      </c>
      <c r="E166" t="inlineStr">
        <is>
          <t>11/11/2026</t>
        </is>
      </c>
      <c r="F166" t="n">
        <v>32</v>
      </c>
      <c r="L166" s="7" t="n"/>
      <c r="M166" s="7" t="n"/>
      <c r="S166" s="7" t="n"/>
      <c r="T166" s="7" t="n"/>
      <c r="Z166" s="7" t="n"/>
      <c r="AA166" s="7" t="n"/>
      <c r="AG166" s="7" t="n"/>
      <c r="AH166" s="7" t="n"/>
      <c r="AN166" s="7" t="n"/>
      <c r="AO166" s="7" t="n"/>
      <c r="AQ166" s="6" t="n"/>
      <c r="AR166" s="6" t="n"/>
      <c r="AU166" s="7" t="n"/>
      <c r="AV166" s="7" t="n"/>
      <c r="BB166" s="7" t="n"/>
      <c r="BC166" s="7" t="n"/>
      <c r="BI166" s="7" t="n"/>
      <c r="BJ166" s="7" t="n"/>
      <c r="BP166" s="7" t="n"/>
      <c r="BQ166" s="7" t="n"/>
      <c r="BW166" s="7" t="n"/>
      <c r="BX166" s="7" t="n"/>
    </row>
    <row r="167">
      <c r="A167" t="inlineStr">
        <is>
          <t>ANGI-178</t>
        </is>
      </c>
      <c r="B167" t="inlineStr">
        <is>
          <t>[BE] F-57 Review Verification Submission</t>
        </is>
      </c>
      <c r="C167" t="inlineStr">
        <is>
          <t>Hưng</t>
        </is>
      </c>
      <c r="D167" t="inlineStr">
        <is>
          <t>11/11/2026</t>
        </is>
      </c>
      <c r="E167" t="inlineStr">
        <is>
          <t>12/11/2026</t>
        </is>
      </c>
      <c r="F167" t="n">
        <v>4.3</v>
      </c>
      <c r="L167" s="7" t="n"/>
      <c r="M167" s="7" t="n"/>
      <c r="S167" s="7" t="n"/>
      <c r="T167" s="7" t="n"/>
      <c r="Z167" s="7" t="n"/>
      <c r="AA167" s="7" t="n"/>
      <c r="AG167" s="7" t="n"/>
      <c r="AH167" s="7" t="n"/>
      <c r="AN167" s="7" t="n"/>
      <c r="AO167" s="7" t="n"/>
      <c r="AR167" s="6" t="n"/>
      <c r="AS167" s="6" t="n"/>
      <c r="AU167" s="7" t="n"/>
      <c r="AV167" s="7" t="n"/>
      <c r="BB167" s="7" t="n"/>
      <c r="BC167" s="7" t="n"/>
      <c r="BI167" s="7" t="n"/>
      <c r="BJ167" s="7" t="n"/>
      <c r="BP167" s="7" t="n"/>
      <c r="BQ167" s="7" t="n"/>
      <c r="BW167" s="7" t="n"/>
      <c r="BX167" s="7" t="n"/>
    </row>
    <row r="168">
      <c r="A168" t="inlineStr">
        <is>
          <t>ANGI-179</t>
        </is>
      </c>
      <c r="B168" t="inlineStr">
        <is>
          <t>[BE] F-61 Moderate User Blog</t>
        </is>
      </c>
      <c r="C168" t="inlineStr">
        <is>
          <t>Trọng</t>
        </is>
      </c>
      <c r="D168" t="inlineStr">
        <is>
          <t>11/11/2026</t>
        </is>
      </c>
      <c r="E168" t="inlineStr">
        <is>
          <t>12/11/2026</t>
        </is>
      </c>
      <c r="F168" t="n">
        <v>4.8</v>
      </c>
      <c r="L168" s="7" t="n"/>
      <c r="M168" s="7" t="n"/>
      <c r="S168" s="7" t="n"/>
      <c r="T168" s="7" t="n"/>
      <c r="Z168" s="7" t="n"/>
      <c r="AA168" s="7" t="n"/>
      <c r="AG168" s="7" t="n"/>
      <c r="AH168" s="7" t="n"/>
      <c r="AN168" s="7" t="n"/>
      <c r="AO168" s="7" t="n"/>
      <c r="AR168" s="6" t="n"/>
      <c r="AS168" s="6" t="n"/>
      <c r="AU168" s="7" t="n"/>
      <c r="AV168" s="7" t="n"/>
      <c r="BB168" s="7" t="n"/>
      <c r="BC168" s="7" t="n"/>
      <c r="BI168" s="7" t="n"/>
      <c r="BJ168" s="7" t="n"/>
      <c r="BP168" s="7" t="n"/>
      <c r="BQ168" s="7" t="n"/>
      <c r="BW168" s="7" t="n"/>
      <c r="BX168" s="7" t="n"/>
    </row>
    <row r="169">
      <c r="A169" t="inlineStr">
        <is>
          <t>ANGI-180</t>
        </is>
      </c>
      <c r="B169" t="inlineStr">
        <is>
          <t>[FE] F-53 Suspend/Ban User</t>
        </is>
      </c>
      <c r="C169" t="inlineStr">
        <is>
          <t>Đức</t>
        </is>
      </c>
      <c r="D169" t="inlineStr">
        <is>
          <t>11/11/2026</t>
        </is>
      </c>
      <c r="E169" t="inlineStr">
        <is>
          <t>13/11/2026</t>
        </is>
      </c>
      <c r="F169" t="n">
        <v>5.8</v>
      </c>
      <c r="L169" s="7" t="n"/>
      <c r="M169" s="7" t="n"/>
      <c r="S169" s="7" t="n"/>
      <c r="T169" s="7" t="n"/>
      <c r="Z169" s="7" t="n"/>
      <c r="AA169" s="7" t="n"/>
      <c r="AG169" s="7" t="n"/>
      <c r="AH169" s="7" t="n"/>
      <c r="AN169" s="7" t="n"/>
      <c r="AO169" s="7" t="n"/>
      <c r="AR169" s="6" t="n"/>
      <c r="AS169" s="6" t="n"/>
      <c r="AT169" s="6" t="n"/>
      <c r="AU169" s="7" t="n"/>
      <c r="AV169" s="7" t="n"/>
      <c r="BB169" s="7" t="n"/>
      <c r="BC169" s="7" t="n"/>
      <c r="BI169" s="7" t="n"/>
      <c r="BJ169" s="7" t="n"/>
      <c r="BP169" s="7" t="n"/>
      <c r="BQ169" s="7" t="n"/>
      <c r="BW169" s="7" t="n"/>
      <c r="BX169" s="7" t="n"/>
    </row>
    <row r="170">
      <c r="A170" t="inlineStr">
        <is>
          <t>ANGI-181</t>
        </is>
      </c>
      <c r="B170" t="inlineStr">
        <is>
          <t>[FE] F-63 View Dashboard</t>
        </is>
      </c>
      <c r="C170" t="inlineStr">
        <is>
          <t>Tuấn</t>
        </is>
      </c>
      <c r="D170" t="inlineStr">
        <is>
          <t>11/11/2026</t>
        </is>
      </c>
      <c r="E170" t="inlineStr">
        <is>
          <t>13/11/2026</t>
        </is>
      </c>
      <c r="F170" t="n">
        <v>5.7</v>
      </c>
      <c r="L170" s="7" t="n"/>
      <c r="M170" s="7" t="n"/>
      <c r="S170" s="7" t="n"/>
      <c r="T170" s="7" t="n"/>
      <c r="Z170" s="7" t="n"/>
      <c r="AA170" s="7" t="n"/>
      <c r="AG170" s="7" t="n"/>
      <c r="AH170" s="7" t="n"/>
      <c r="AN170" s="7" t="n"/>
      <c r="AO170" s="7" t="n"/>
      <c r="AR170" s="6" t="n"/>
      <c r="AS170" s="6" t="n"/>
      <c r="AT170" s="6" t="n"/>
      <c r="AU170" s="7" t="n"/>
      <c r="AV170" s="7" t="n"/>
      <c r="BB170" s="7" t="n"/>
      <c r="BC170" s="7" t="n"/>
      <c r="BI170" s="7" t="n"/>
      <c r="BJ170" s="7" t="n"/>
      <c r="BP170" s="7" t="n"/>
      <c r="BQ170" s="7" t="n"/>
      <c r="BW170" s="7" t="n"/>
      <c r="BX170" s="7" t="n"/>
    </row>
    <row r="171">
      <c r="A171" t="inlineStr">
        <is>
          <t>ANGI-182</t>
        </is>
      </c>
      <c r="B171" t="inlineStr">
        <is>
          <t>[BE] F-54 Unban User</t>
        </is>
      </c>
      <c r="C171" t="inlineStr">
        <is>
          <t>Trọng</t>
        </is>
      </c>
      <c r="D171" t="inlineStr">
        <is>
          <t>12/11/2026</t>
        </is>
      </c>
      <c r="E171" t="inlineStr">
        <is>
          <t>12/11/2026</t>
        </is>
      </c>
      <c r="F171" t="n">
        <v>4.5</v>
      </c>
      <c r="L171" s="7" t="n"/>
      <c r="M171" s="7" t="n"/>
      <c r="S171" s="7" t="n"/>
      <c r="T171" s="7" t="n"/>
      <c r="Z171" s="7" t="n"/>
      <c r="AA171" s="7" t="n"/>
      <c r="AG171" s="7" t="n"/>
      <c r="AH171" s="7" t="n"/>
      <c r="AN171" s="7" t="n"/>
      <c r="AO171" s="7" t="n"/>
      <c r="AS171" s="6" t="n"/>
      <c r="AU171" s="7" t="n"/>
      <c r="AV171" s="7" t="n"/>
      <c r="BB171" s="7" t="n"/>
      <c r="BC171" s="7" t="n"/>
      <c r="BI171" s="7" t="n"/>
      <c r="BJ171" s="7" t="n"/>
      <c r="BP171" s="7" t="n"/>
      <c r="BQ171" s="7" t="n"/>
      <c r="BW171" s="7" t="n"/>
      <c r="BX171" s="7" t="n"/>
    </row>
    <row r="172">
      <c r="A172" t="inlineStr">
        <is>
          <t>ANGI-183</t>
        </is>
      </c>
      <c r="B172" t="inlineStr">
        <is>
          <t>[BE] F-62 Moderate User Feedback</t>
        </is>
      </c>
      <c r="C172" t="inlineStr">
        <is>
          <t>Trọng</t>
        </is>
      </c>
      <c r="D172" t="inlineStr">
        <is>
          <t>12/11/2026</t>
        </is>
      </c>
      <c r="E172" t="inlineStr">
        <is>
          <t>13/11/2026</t>
        </is>
      </c>
      <c r="F172" t="n">
        <v>3.9</v>
      </c>
      <c r="L172" s="7" t="n"/>
      <c r="M172" s="7" t="n"/>
      <c r="S172" s="7" t="n"/>
      <c r="T172" s="7" t="n"/>
      <c r="Z172" s="7" t="n"/>
      <c r="AA172" s="7" t="n"/>
      <c r="AG172" s="7" t="n"/>
      <c r="AH172" s="7" t="n"/>
      <c r="AN172" s="7" t="n"/>
      <c r="AO172" s="7" t="n"/>
      <c r="AS172" s="6" t="n"/>
      <c r="AT172" s="6" t="n"/>
      <c r="AU172" s="7" t="n"/>
      <c r="AV172" s="7" t="n"/>
      <c r="BB172" s="7" t="n"/>
      <c r="BC172" s="7" t="n"/>
      <c r="BI172" s="7" t="n"/>
      <c r="BJ172" s="7" t="n"/>
      <c r="BP172" s="7" t="n"/>
      <c r="BQ172" s="7" t="n"/>
      <c r="BW172" s="7" t="n"/>
      <c r="BX172" s="7" t="n"/>
    </row>
    <row r="173">
      <c r="A173" t="inlineStr">
        <is>
          <t>ANGI-184</t>
        </is>
      </c>
      <c r="B173" t="inlineStr">
        <is>
          <t>[BE] F-58 Review Pending Menu Submission</t>
        </is>
      </c>
      <c r="C173" t="inlineStr">
        <is>
          <t>Hưng</t>
        </is>
      </c>
      <c r="D173" t="inlineStr">
        <is>
          <t>12/11/2026</t>
        </is>
      </c>
      <c r="E173" t="inlineStr">
        <is>
          <t>14/11/2026</t>
        </is>
      </c>
      <c r="F173" t="n">
        <v>2.7</v>
      </c>
      <c r="L173" s="7" t="n"/>
      <c r="M173" s="7" t="n"/>
      <c r="S173" s="7" t="n"/>
      <c r="T173" s="7" t="n"/>
      <c r="Z173" s="7" t="n"/>
      <c r="AA173" s="7" t="n"/>
      <c r="AG173" s="7" t="n"/>
      <c r="AH173" s="7" t="n"/>
      <c r="AN173" s="7" t="n"/>
      <c r="AO173" s="7" t="n"/>
      <c r="AS173" s="6" t="n"/>
      <c r="AT173" s="6" t="n"/>
      <c r="AU173" s="6" t="n"/>
      <c r="AV173" s="7" t="n"/>
      <c r="BB173" s="7" t="n"/>
      <c r="BC173" s="7" t="n"/>
      <c r="BI173" s="7" t="n"/>
      <c r="BJ173" s="7" t="n"/>
      <c r="BP173" s="7" t="n"/>
      <c r="BQ173" s="7" t="n"/>
      <c r="BW173" s="7" t="n"/>
      <c r="BX173" s="7" t="n"/>
    </row>
    <row r="174">
      <c r="A174" t="inlineStr">
        <is>
          <t>ANGI-185</t>
        </is>
      </c>
      <c r="B174" t="inlineStr">
        <is>
          <t>Reco P3: Đánh giá offline (bộ kịch bản + metric) cho báo cáo</t>
        </is>
      </c>
      <c r="C174" t="inlineStr">
        <is>
          <t>Dũng</t>
        </is>
      </c>
      <c r="D174" t="inlineStr">
        <is>
          <t>12/11/2026</t>
        </is>
      </c>
      <c r="E174" t="inlineStr">
        <is>
          <t>14/11/2026</t>
        </is>
      </c>
      <c r="F174" t="n">
        <v>4.9</v>
      </c>
      <c r="L174" s="7" t="n"/>
      <c r="M174" s="7" t="n"/>
      <c r="S174" s="7" t="n"/>
      <c r="T174" s="7" t="n"/>
      <c r="Z174" s="7" t="n"/>
      <c r="AA174" s="7" t="n"/>
      <c r="AG174" s="7" t="n"/>
      <c r="AH174" s="7" t="n"/>
      <c r="AN174" s="7" t="n"/>
      <c r="AO174" s="7" t="n"/>
      <c r="AS174" s="6" t="n"/>
      <c r="AT174" s="6" t="n"/>
      <c r="AU174" s="6" t="n"/>
      <c r="AV174" s="7" t="n"/>
      <c r="BB174" s="7" t="n"/>
      <c r="BC174" s="7" t="n"/>
      <c r="BI174" s="7" t="n"/>
      <c r="BJ174" s="7" t="n"/>
      <c r="BP174" s="7" t="n"/>
      <c r="BQ174" s="7" t="n"/>
      <c r="BW174" s="7" t="n"/>
      <c r="BX174" s="7" t="n"/>
    </row>
    <row r="175">
      <c r="A175" t="inlineStr">
        <is>
          <t>ANGI-186</t>
        </is>
      </c>
      <c r="B175" t="inlineStr">
        <is>
          <t>[BE] F-55 View User Audit Logs</t>
        </is>
      </c>
      <c r="C175" t="inlineStr">
        <is>
          <t>Trọng</t>
        </is>
      </c>
      <c r="D175" t="inlineStr">
        <is>
          <t>13/11/2026</t>
        </is>
      </c>
      <c r="E175" t="inlineStr">
        <is>
          <t>13/11/2026</t>
        </is>
      </c>
      <c r="F175" t="n">
        <v>3.2</v>
      </c>
      <c r="L175" s="7" t="n"/>
      <c r="M175" s="7" t="n"/>
      <c r="S175" s="7" t="n"/>
      <c r="T175" s="7" t="n"/>
      <c r="Z175" s="7" t="n"/>
      <c r="AA175" s="7" t="n"/>
      <c r="AG175" s="7" t="n"/>
      <c r="AH175" s="7" t="n"/>
      <c r="AN175" s="7" t="n"/>
      <c r="AO175" s="7" t="n"/>
      <c r="AT175" s="6" t="n"/>
      <c r="AU175" s="7" t="n"/>
      <c r="AV175" s="7" t="n"/>
      <c r="BB175" s="7" t="n"/>
      <c r="BC175" s="7" t="n"/>
      <c r="BI175" s="7" t="n"/>
      <c r="BJ175" s="7" t="n"/>
      <c r="BP175" s="7" t="n"/>
      <c r="BQ175" s="7" t="n"/>
      <c r="BW175" s="7" t="n"/>
      <c r="BX175" s="7" t="n"/>
    </row>
    <row r="176">
      <c r="A176" t="inlineStr">
        <is>
          <t>ANGI-187</t>
        </is>
      </c>
      <c r="B176" t="inlineStr">
        <is>
          <t>[FE] F-61 Moderate User Blog</t>
        </is>
      </c>
      <c r="C176" t="inlineStr">
        <is>
          <t>Đức</t>
        </is>
      </c>
      <c r="D176" t="inlineStr">
        <is>
          <t>13/11/2026</t>
        </is>
      </c>
      <c r="E176" t="inlineStr">
        <is>
          <t>14/11/2026</t>
        </is>
      </c>
      <c r="F176" t="n">
        <v>4.5</v>
      </c>
      <c r="L176" s="7" t="n"/>
      <c r="M176" s="7" t="n"/>
      <c r="S176" s="7" t="n"/>
      <c r="T176" s="7" t="n"/>
      <c r="Z176" s="7" t="n"/>
      <c r="AA176" s="7" t="n"/>
      <c r="AG176" s="7" t="n"/>
      <c r="AH176" s="7" t="n"/>
      <c r="AN176" s="7" t="n"/>
      <c r="AO176" s="7" t="n"/>
      <c r="AT176" s="6" t="n"/>
      <c r="AU176" s="6" t="n"/>
      <c r="AV176" s="7" t="n"/>
      <c r="BB176" s="7" t="n"/>
      <c r="BC176" s="7" t="n"/>
      <c r="BI176" s="7" t="n"/>
      <c r="BJ176" s="7" t="n"/>
      <c r="BP176" s="7" t="n"/>
      <c r="BQ176" s="7" t="n"/>
      <c r="BW176" s="7" t="n"/>
      <c r="BX176" s="7" t="n"/>
    </row>
    <row r="177">
      <c r="A177" t="inlineStr">
        <is>
          <t>ANGI-188</t>
        </is>
      </c>
      <c r="B177" t="inlineStr">
        <is>
          <t>[FE] F-64 View System Audits Log</t>
        </is>
      </c>
      <c r="C177" t="inlineStr">
        <is>
          <t>Tuấn</t>
        </is>
      </c>
      <c r="D177" t="inlineStr">
        <is>
          <t>13/11/2026</t>
        </is>
      </c>
      <c r="E177" t="inlineStr">
        <is>
          <t>14/11/2026</t>
        </is>
      </c>
      <c r="F177" t="n">
        <v>4.9</v>
      </c>
      <c r="L177" s="7" t="n"/>
      <c r="M177" s="7" t="n"/>
      <c r="S177" s="7" t="n"/>
      <c r="T177" s="7" t="n"/>
      <c r="Z177" s="7" t="n"/>
      <c r="AA177" s="7" t="n"/>
      <c r="AG177" s="7" t="n"/>
      <c r="AH177" s="7" t="n"/>
      <c r="AN177" s="7" t="n"/>
      <c r="AO177" s="7" t="n"/>
      <c r="AT177" s="6" t="n"/>
      <c r="AU177" s="6" t="n"/>
      <c r="AV177" s="7" t="n"/>
      <c r="BB177" s="7" t="n"/>
      <c r="BC177" s="7" t="n"/>
      <c r="BI177" s="7" t="n"/>
      <c r="BJ177" s="7" t="n"/>
      <c r="BP177" s="7" t="n"/>
      <c r="BQ177" s="7" t="n"/>
      <c r="BW177" s="7" t="n"/>
      <c r="BX177" s="7" t="n"/>
    </row>
    <row r="178">
      <c r="A178" t="inlineStr">
        <is>
          <t>ANGI-189</t>
        </is>
      </c>
      <c r="B178" t="inlineStr">
        <is>
          <t>[BE] F-63 View Dashboard</t>
        </is>
      </c>
      <c r="C178" t="inlineStr">
        <is>
          <t>Trọng</t>
        </is>
      </c>
      <c r="D178" t="inlineStr">
        <is>
          <t>13/11/2026</t>
        </is>
      </c>
      <c r="E178" t="inlineStr">
        <is>
          <t>15/11/2026</t>
        </is>
      </c>
      <c r="F178" t="n">
        <v>1.6</v>
      </c>
      <c r="L178" s="7" t="n"/>
      <c r="M178" s="7" t="n"/>
      <c r="S178" s="7" t="n"/>
      <c r="T178" s="7" t="n"/>
      <c r="Z178" s="7" t="n"/>
      <c r="AA178" s="7" t="n"/>
      <c r="AG178" s="7" t="n"/>
      <c r="AH178" s="7" t="n"/>
      <c r="AN178" s="7" t="n"/>
      <c r="AO178" s="7" t="n"/>
      <c r="AT178" s="6" t="n"/>
      <c r="AU178" s="6" t="n"/>
      <c r="AV178" s="6" t="n"/>
      <c r="BB178" s="7" t="n"/>
      <c r="BC178" s="7" t="n"/>
      <c r="BI178" s="7" t="n"/>
      <c r="BJ178" s="7" t="n"/>
      <c r="BP178" s="7" t="n"/>
      <c r="BQ178" s="7" t="n"/>
      <c r="BW178" s="7" t="n"/>
      <c r="BX178" s="7" t="n"/>
    </row>
    <row r="179">
      <c r="A179" t="inlineStr">
        <is>
          <t>ANGI-190</t>
        </is>
      </c>
      <c r="B179" t="inlineStr">
        <is>
          <t>[FE] F-54 Unban User</t>
        </is>
      </c>
      <c r="C179" t="inlineStr">
        <is>
          <t>Đức</t>
        </is>
      </c>
      <c r="D179" t="inlineStr">
        <is>
          <t>14/11/2026</t>
        </is>
      </c>
      <c r="E179" t="inlineStr">
        <is>
          <t>15/11/2026</t>
        </is>
      </c>
      <c r="F179" t="n">
        <v>3.8</v>
      </c>
      <c r="L179" s="7" t="n"/>
      <c r="M179" s="7" t="n"/>
      <c r="S179" s="7" t="n"/>
      <c r="T179" s="7" t="n"/>
      <c r="Z179" s="7" t="n"/>
      <c r="AA179" s="7" t="n"/>
      <c r="AG179" s="7" t="n"/>
      <c r="AH179" s="7" t="n"/>
      <c r="AN179" s="7" t="n"/>
      <c r="AO179" s="7" t="n"/>
      <c r="AU179" s="6" t="n"/>
      <c r="AV179" s="6" t="n"/>
      <c r="BB179" s="7" t="n"/>
      <c r="BC179" s="7" t="n"/>
      <c r="BI179" s="7" t="n"/>
      <c r="BJ179" s="7" t="n"/>
      <c r="BP179" s="7" t="n"/>
      <c r="BQ179" s="7" t="n"/>
      <c r="BW179" s="7" t="n"/>
      <c r="BX179" s="7" t="n"/>
    </row>
    <row r="180">
      <c r="A180" t="inlineStr">
        <is>
          <t>ANGI-191</t>
        </is>
      </c>
      <c r="B180" t="inlineStr">
        <is>
          <t>[BE] F-56 Moderate Restaurant</t>
        </is>
      </c>
      <c r="C180" t="inlineStr">
        <is>
          <t>Hưng</t>
        </is>
      </c>
      <c r="D180" t="inlineStr">
        <is>
          <t>14/11/2026</t>
        </is>
      </c>
      <c r="E180" t="inlineStr">
        <is>
          <t>15/11/2026</t>
        </is>
      </c>
      <c r="F180" t="n">
        <v>2</v>
      </c>
      <c r="L180" s="7" t="n"/>
      <c r="M180" s="7" t="n"/>
      <c r="S180" s="7" t="n"/>
      <c r="T180" s="7" t="n"/>
      <c r="Z180" s="7" t="n"/>
      <c r="AA180" s="7" t="n"/>
      <c r="AG180" s="7" t="n"/>
      <c r="AH180" s="7" t="n"/>
      <c r="AN180" s="7" t="n"/>
      <c r="AO180" s="7" t="n"/>
      <c r="AU180" s="6" t="n"/>
      <c r="AV180" s="6" t="n"/>
      <c r="BB180" s="7" t="n"/>
      <c r="BC180" s="7" t="n"/>
      <c r="BI180" s="7" t="n"/>
      <c r="BJ180" s="7" t="n"/>
      <c r="BP180" s="7" t="n"/>
      <c r="BQ180" s="7" t="n"/>
      <c r="BW180" s="7" t="n"/>
      <c r="BX180" s="7" t="n"/>
    </row>
    <row r="181">
      <c r="A181" t="inlineStr">
        <is>
          <t>ANGI-192</t>
        </is>
      </c>
      <c r="B181" t="inlineStr">
        <is>
          <t>[FE] F-57 Review Verification Submission</t>
        </is>
      </c>
      <c r="C181" t="inlineStr">
        <is>
          <t>Tuấn</t>
        </is>
      </c>
      <c r="D181" t="inlineStr">
        <is>
          <t>14/11/2026</t>
        </is>
      </c>
      <c r="E181" t="inlineStr">
        <is>
          <t>15/11/2026</t>
        </is>
      </c>
      <c r="F181" t="n">
        <v>3.7</v>
      </c>
      <c r="L181" s="7" t="n"/>
      <c r="M181" s="7" t="n"/>
      <c r="S181" s="7" t="n"/>
      <c r="T181" s="7" t="n"/>
      <c r="Z181" s="7" t="n"/>
      <c r="AA181" s="7" t="n"/>
      <c r="AG181" s="7" t="n"/>
      <c r="AH181" s="7" t="n"/>
      <c r="AN181" s="7" t="n"/>
      <c r="AO181" s="7" t="n"/>
      <c r="AU181" s="6" t="n"/>
      <c r="AV181" s="6" t="n"/>
      <c r="BB181" s="7" t="n"/>
      <c r="BC181" s="7" t="n"/>
      <c r="BI181" s="7" t="n"/>
      <c r="BJ181" s="7" t="n"/>
      <c r="BP181" s="7" t="n"/>
      <c r="BQ181" s="7" t="n"/>
      <c r="BW181" s="7" t="n"/>
      <c r="BX181" s="7" t="n"/>
    </row>
    <row r="182">
      <c r="A182" t="inlineStr">
        <is>
          <t>ANGI-193</t>
        </is>
      </c>
      <c r="B182" t="inlineStr">
        <is>
          <t>Reco P3: Tích hợp end-to-end + tối ưu đáp ứng &lt; 3 giây</t>
        </is>
      </c>
      <c r="C182" t="inlineStr">
        <is>
          <t>Dũng</t>
        </is>
      </c>
      <c r="D182" t="inlineStr">
        <is>
          <t>14/11/2026</t>
        </is>
      </c>
      <c r="E182" t="inlineStr">
        <is>
          <t>16/11/2026</t>
        </is>
      </c>
      <c r="F182" t="n">
        <v>3</v>
      </c>
      <c r="L182" s="7" t="n"/>
      <c r="M182" s="7" t="n"/>
      <c r="S182" s="7" t="n"/>
      <c r="T182" s="7" t="n"/>
      <c r="Z182" s="7" t="n"/>
      <c r="AA182" s="7" t="n"/>
      <c r="AG182" s="7" t="n"/>
      <c r="AH182" s="7" t="n"/>
      <c r="AN182" s="7" t="n"/>
      <c r="AO182" s="7" t="n"/>
      <c r="AU182" s="6" t="n"/>
      <c r="AV182" s="6" t="n"/>
      <c r="AW182" s="6" t="n"/>
      <c r="BB182" s="7" t="n"/>
      <c r="BC182" s="7" t="n"/>
      <c r="BI182" s="7" t="n"/>
      <c r="BJ182" s="7" t="n"/>
      <c r="BP182" s="7" t="n"/>
      <c r="BQ182" s="7" t="n"/>
      <c r="BW182" s="7" t="n"/>
      <c r="BX182" s="7" t="n"/>
    </row>
    <row r="183">
      <c r="A183" t="inlineStr">
        <is>
          <t>ANGI-194</t>
        </is>
      </c>
      <c r="B183" s="8" t="inlineStr">
        <is>
          <t>[BE] F-59 Handle Restaurant Report</t>
        </is>
      </c>
      <c r="C183" t="inlineStr">
        <is>
          <t>Hưng</t>
        </is>
      </c>
      <c r="D183" t="inlineStr">
        <is>
          <t>15/11/2026</t>
        </is>
      </c>
      <c r="E183" t="inlineStr">
        <is>
          <t>16/11/2026</t>
        </is>
      </c>
      <c r="F183" t="n">
        <v>1</v>
      </c>
      <c r="L183" s="7" t="n"/>
      <c r="M183" s="7" t="n"/>
      <c r="S183" s="7" t="n"/>
      <c r="T183" s="7" t="n"/>
      <c r="Z183" s="7" t="n"/>
      <c r="AA183" s="7" t="n"/>
      <c r="AG183" s="7" t="n"/>
      <c r="AH183" s="7" t="n"/>
      <c r="AN183" s="7" t="n"/>
      <c r="AO183" s="7" t="n"/>
      <c r="AU183" s="7" t="n"/>
      <c r="AV183" s="9" t="n"/>
      <c r="AW183" s="9" t="n"/>
      <c r="BB183" s="7" t="n"/>
      <c r="BC183" s="7" t="n"/>
      <c r="BI183" s="7" t="n"/>
      <c r="BJ183" s="7" t="n"/>
      <c r="BP183" s="7" t="n"/>
      <c r="BQ183" s="7" t="n"/>
      <c r="BW183" s="7" t="n"/>
      <c r="BX183" s="7" t="n"/>
    </row>
    <row r="184">
      <c r="A184" t="inlineStr">
        <is>
          <t>ANGI-195</t>
        </is>
      </c>
      <c r="B184" s="8" t="inlineStr">
        <is>
          <t>[BE] F-64 View System Audits Log</t>
        </is>
      </c>
      <c r="C184" t="inlineStr">
        <is>
          <t>Trọng</t>
        </is>
      </c>
      <c r="D184" t="inlineStr">
        <is>
          <t>15/11/2026</t>
        </is>
      </c>
      <c r="E184" t="inlineStr">
        <is>
          <t>16/11/2026</t>
        </is>
      </c>
      <c r="F184" t="n">
        <v>1</v>
      </c>
      <c r="L184" s="7" t="n"/>
      <c r="M184" s="7" t="n"/>
      <c r="S184" s="7" t="n"/>
      <c r="T184" s="7" t="n"/>
      <c r="Z184" s="7" t="n"/>
      <c r="AA184" s="7" t="n"/>
      <c r="AG184" s="7" t="n"/>
      <c r="AH184" s="7" t="n"/>
      <c r="AN184" s="7" t="n"/>
      <c r="AO184" s="7" t="n"/>
      <c r="AU184" s="7" t="n"/>
      <c r="AV184" s="9" t="n"/>
      <c r="AW184" s="9" t="n"/>
      <c r="BB184" s="7" t="n"/>
      <c r="BC184" s="7" t="n"/>
      <c r="BI184" s="7" t="n"/>
      <c r="BJ184" s="7" t="n"/>
      <c r="BP184" s="7" t="n"/>
      <c r="BQ184" s="7" t="n"/>
      <c r="BW184" s="7" t="n"/>
      <c r="BX184" s="7" t="n"/>
    </row>
    <row r="185">
      <c r="A185" t="inlineStr">
        <is>
          <t>ANGI-196</t>
        </is>
      </c>
      <c r="B185" t="inlineStr">
        <is>
          <t>[FE] F-58 Review Pending Menu Submission</t>
        </is>
      </c>
      <c r="C185" t="inlineStr">
        <is>
          <t>Tuấn</t>
        </is>
      </c>
      <c r="D185" t="inlineStr">
        <is>
          <t>15/11/2026</t>
        </is>
      </c>
      <c r="E185" t="inlineStr">
        <is>
          <t>16/11/2026</t>
        </is>
      </c>
      <c r="F185" t="n">
        <v>2.6</v>
      </c>
      <c r="L185" s="7" t="n"/>
      <c r="M185" s="7" t="n"/>
      <c r="S185" s="7" t="n"/>
      <c r="T185" s="7" t="n"/>
      <c r="Z185" s="7" t="n"/>
      <c r="AA185" s="7" t="n"/>
      <c r="AG185" s="7" t="n"/>
      <c r="AH185" s="7" t="n"/>
      <c r="AN185" s="7" t="n"/>
      <c r="AO185" s="7" t="n"/>
      <c r="AU185" s="7" t="n"/>
      <c r="AV185" s="6" t="n"/>
      <c r="AW185" s="6" t="n"/>
      <c r="BB185" s="7" t="n"/>
      <c r="BC185" s="7" t="n"/>
      <c r="BI185" s="7" t="n"/>
      <c r="BJ185" s="7" t="n"/>
      <c r="BP185" s="7" t="n"/>
      <c r="BQ185" s="7" t="n"/>
      <c r="BW185" s="7" t="n"/>
      <c r="BX185" s="7" t="n"/>
    </row>
    <row r="186">
      <c r="A186" t="inlineStr">
        <is>
          <t>ANGI-197</t>
        </is>
      </c>
      <c r="B186" t="inlineStr">
        <is>
          <t>[FE] F-62 Moderate User Feedback</t>
        </is>
      </c>
      <c r="C186" t="inlineStr">
        <is>
          <t>Đức</t>
        </is>
      </c>
      <c r="D186" t="inlineStr">
        <is>
          <t>15/11/2026</t>
        </is>
      </c>
      <c r="E186" t="inlineStr">
        <is>
          <t>16/11/2026</t>
        </is>
      </c>
      <c r="F186" t="n">
        <v>2.4</v>
      </c>
      <c r="L186" s="7" t="n"/>
      <c r="M186" s="7" t="n"/>
      <c r="S186" s="7" t="n"/>
      <c r="T186" s="7" t="n"/>
      <c r="Z186" s="7" t="n"/>
      <c r="AA186" s="7" t="n"/>
      <c r="AG186" s="7" t="n"/>
      <c r="AH186" s="7" t="n"/>
      <c r="AN186" s="7" t="n"/>
      <c r="AO186" s="7" t="n"/>
      <c r="AU186" s="7" t="n"/>
      <c r="AV186" s="6" t="n"/>
      <c r="AW186" s="6" t="n"/>
      <c r="BB186" s="7" t="n"/>
      <c r="BC186" s="7" t="n"/>
      <c r="BI186" s="7" t="n"/>
      <c r="BJ186" s="7" t="n"/>
      <c r="BP186" s="7" t="n"/>
      <c r="BQ186" s="7" t="n"/>
      <c r="BW186" s="7" t="n"/>
      <c r="BX186" s="7" t="n"/>
    </row>
    <row r="187">
      <c r="A187" t="inlineStr">
        <is>
          <t>ANGI-198</t>
        </is>
      </c>
      <c r="B187" s="8" t="inlineStr">
        <is>
          <t>[FE] F-55 View User Audit Logs</t>
        </is>
      </c>
      <c r="C187" t="inlineStr">
        <is>
          <t>Đức</t>
        </is>
      </c>
      <c r="D187" t="inlineStr">
        <is>
          <t>16/11/2026</t>
        </is>
      </c>
      <c r="E187" t="inlineStr">
        <is>
          <t>17/11/2026</t>
        </is>
      </c>
      <c r="F187" t="n">
        <v>1</v>
      </c>
      <c r="L187" s="7" t="n"/>
      <c r="M187" s="7" t="n"/>
      <c r="S187" s="7" t="n"/>
      <c r="T187" s="7" t="n"/>
      <c r="Z187" s="7" t="n"/>
      <c r="AA187" s="7" t="n"/>
      <c r="AG187" s="7" t="n"/>
      <c r="AH187" s="7" t="n"/>
      <c r="AN187" s="7" t="n"/>
      <c r="AO187" s="7" t="n"/>
      <c r="AU187" s="7" t="n"/>
      <c r="AV187" s="7" t="n"/>
      <c r="AW187" s="9" t="n"/>
      <c r="AX187" s="9" t="n"/>
      <c r="BB187" s="7" t="n"/>
      <c r="BC187" s="7" t="n"/>
      <c r="BI187" s="7" t="n"/>
      <c r="BJ187" s="7" t="n"/>
      <c r="BP187" s="7" t="n"/>
      <c r="BQ187" s="7" t="n"/>
      <c r="BW187" s="7" t="n"/>
      <c r="BX187" s="7" t="n"/>
    </row>
    <row r="188">
      <c r="A188" t="inlineStr">
        <is>
          <t>ANGI-199</t>
        </is>
      </c>
      <c r="B188" t="inlineStr">
        <is>
          <t>[FE] F-56 Moderate Restaurant</t>
        </is>
      </c>
      <c r="C188" t="inlineStr">
        <is>
          <t>Tuấn</t>
        </is>
      </c>
      <c r="D188" t="inlineStr">
        <is>
          <t>16/11/2026</t>
        </is>
      </c>
      <c r="E188" t="inlineStr">
        <is>
          <t>17/11/2026</t>
        </is>
      </c>
      <c r="F188" t="n">
        <v>1.8</v>
      </c>
      <c r="L188" s="7" t="n"/>
      <c r="M188" s="7" t="n"/>
      <c r="S188" s="7" t="n"/>
      <c r="T188" s="7" t="n"/>
      <c r="Z188" s="7" t="n"/>
      <c r="AA188" s="7" t="n"/>
      <c r="AG188" s="7" t="n"/>
      <c r="AH188" s="7" t="n"/>
      <c r="AN188" s="7" t="n"/>
      <c r="AO188" s="7" t="n"/>
      <c r="AU188" s="7" t="n"/>
      <c r="AV188" s="7" t="n"/>
      <c r="AW188" s="6" t="n"/>
      <c r="AX188" s="6" t="n"/>
      <c r="BB188" s="7" t="n"/>
      <c r="BC188" s="7" t="n"/>
      <c r="BI188" s="7" t="n"/>
      <c r="BJ188" s="7" t="n"/>
      <c r="BP188" s="7" t="n"/>
      <c r="BQ188" s="7" t="n"/>
      <c r="BW188" s="7" t="n"/>
      <c r="BX188" s="7" t="n"/>
    </row>
    <row r="189">
      <c r="A189" t="inlineStr">
        <is>
          <t>ANGI-200</t>
        </is>
      </c>
      <c r="B189" s="8" t="inlineStr">
        <is>
          <t>[FE] F-59 Handle Restaurant Report</t>
        </is>
      </c>
      <c r="C189" t="inlineStr">
        <is>
          <t>Tuấn</t>
        </is>
      </c>
      <c r="D189" t="inlineStr">
        <is>
          <t>17/11/2026</t>
        </is>
      </c>
      <c r="E189" t="inlineStr">
        <is>
          <t>17/11/2026</t>
        </is>
      </c>
      <c r="F189" t="n">
        <v>1</v>
      </c>
      <c r="L189" s="7" t="n"/>
      <c r="M189" s="7" t="n"/>
      <c r="S189" s="7" t="n"/>
      <c r="T189" s="7" t="n"/>
      <c r="Z189" s="7" t="n"/>
      <c r="AA189" s="7" t="n"/>
      <c r="AG189" s="7" t="n"/>
      <c r="AH189" s="7" t="n"/>
      <c r="AN189" s="7" t="n"/>
      <c r="AO189" s="7" t="n"/>
      <c r="AU189" s="7" t="n"/>
      <c r="AV189" s="7" t="n"/>
      <c r="AX189" s="9" t="n"/>
      <c r="BB189" s="7" t="n"/>
      <c r="BC189" s="7" t="n"/>
      <c r="BI189" s="7" t="n"/>
      <c r="BJ189" s="7" t="n"/>
      <c r="BP189" s="7" t="n"/>
      <c r="BQ189" s="7" t="n"/>
      <c r="BW189" s="7" t="n"/>
      <c r="BX189" s="7" t="n"/>
    </row>
    <row r="190">
      <c r="A190" t="inlineStr">
        <is>
          <t>ANGI-201</t>
        </is>
      </c>
      <c r="B190" t="inlineStr">
        <is>
          <t>Unit Testing Report Iteration 3</t>
        </is>
      </c>
      <c r="C190" t="inlineStr">
        <is>
          <t>Trọng</t>
        </is>
      </c>
      <c r="D190" t="inlineStr">
        <is>
          <t>17/11/2026</t>
        </is>
      </c>
      <c r="E190" t="inlineStr">
        <is>
          <t>17/11/2026</t>
        </is>
      </c>
      <c r="F190" t="n">
        <v>26</v>
      </c>
      <c r="L190" s="7" t="n"/>
      <c r="M190" s="7" t="n"/>
      <c r="S190" s="7" t="n"/>
      <c r="T190" s="7" t="n"/>
      <c r="Z190" s="7" t="n"/>
      <c r="AA190" s="7" t="n"/>
      <c r="AG190" s="7" t="n"/>
      <c r="AH190" s="7" t="n"/>
      <c r="AN190" s="7" t="n"/>
      <c r="AO190" s="7" t="n"/>
      <c r="AU190" s="7" t="n"/>
      <c r="AV190" s="7" t="n"/>
      <c r="AX190" s="6" t="n"/>
      <c r="BB190" s="7" t="n"/>
      <c r="BC190" s="7" t="n"/>
      <c r="BI190" s="7" t="n"/>
      <c r="BJ190" s="7" t="n"/>
      <c r="BP190" s="7" t="n"/>
      <c r="BQ190" s="7" t="n"/>
      <c r="BW190" s="7" t="n"/>
      <c r="BX190" s="7" t="n"/>
    </row>
    <row r="191">
      <c r="A191" t="inlineStr">
        <is>
          <t>ANGI-202</t>
        </is>
      </c>
      <c r="B191" s="8" t="inlineStr">
        <is>
          <t>Report 5: Integration Test Cases Iteration 3</t>
        </is>
      </c>
      <c r="C191" t="inlineStr">
        <is>
          <t>Đức</t>
        </is>
      </c>
      <c r="D191" t="inlineStr">
        <is>
          <t>17/11/2026</t>
        </is>
      </c>
      <c r="E191" t="inlineStr">
        <is>
          <t>18/11/2026</t>
        </is>
      </c>
      <c r="F191" t="n">
        <v>1</v>
      </c>
      <c r="L191" s="7" t="n"/>
      <c r="M191" s="7" t="n"/>
      <c r="S191" s="7" t="n"/>
      <c r="T191" s="7" t="n"/>
      <c r="Z191" s="7" t="n"/>
      <c r="AA191" s="7" t="n"/>
      <c r="AG191" s="7" t="n"/>
      <c r="AH191" s="7" t="n"/>
      <c r="AN191" s="7" t="n"/>
      <c r="AO191" s="7" t="n"/>
      <c r="AU191" s="7" t="n"/>
      <c r="AV191" s="7" t="n"/>
      <c r="AX191" s="9" t="n"/>
      <c r="AY191" s="9" t="n"/>
      <c r="BB191" s="7" t="n"/>
      <c r="BC191" s="7" t="n"/>
      <c r="BI191" s="7" t="n"/>
      <c r="BJ191" s="7" t="n"/>
      <c r="BP191" s="7" t="n"/>
      <c r="BQ191" s="7" t="n"/>
      <c r="BW191" s="7" t="n"/>
      <c r="BX191" s="7" t="n"/>
    </row>
    <row r="192">
      <c r="A192" t="inlineStr">
        <is>
          <t>ANGI-203</t>
        </is>
      </c>
      <c r="B192" s="8" t="inlineStr">
        <is>
          <t>Code freeze + tích hợp Iteration 3: merge PR vào dev, chạy toàn hệ thống</t>
        </is>
      </c>
      <c r="C192" t="inlineStr">
        <is>
          <t>Dũng</t>
        </is>
      </c>
      <c r="D192" t="inlineStr">
        <is>
          <t>18/11/2026</t>
        </is>
      </c>
      <c r="E192" t="inlineStr">
        <is>
          <t>18/11/2026</t>
        </is>
      </c>
      <c r="F192" t="n">
        <v>1</v>
      </c>
      <c r="L192" s="7" t="n"/>
      <c r="M192" s="7" t="n"/>
      <c r="S192" s="7" t="n"/>
      <c r="T192" s="7" t="n"/>
      <c r="Z192" s="7" t="n"/>
      <c r="AA192" s="7" t="n"/>
      <c r="AG192" s="7" t="n"/>
      <c r="AH192" s="7" t="n"/>
      <c r="AN192" s="7" t="n"/>
      <c r="AO192" s="7" t="n"/>
      <c r="AU192" s="7" t="n"/>
      <c r="AV192" s="7" t="n"/>
      <c r="AY192" s="9" t="n"/>
      <c r="BB192" s="7" t="n"/>
      <c r="BC192" s="7" t="n"/>
      <c r="BI192" s="7" t="n"/>
      <c r="BJ192" s="7" t="n"/>
      <c r="BP192" s="7" t="n"/>
      <c r="BQ192" s="7" t="n"/>
      <c r="BW192" s="7" t="n"/>
      <c r="BX192" s="7" t="n"/>
    </row>
    <row r="193">
      <c r="A193" t="inlineStr">
        <is>
          <t>ANGI-204</t>
        </is>
      </c>
      <c r="B193" s="8" t="inlineStr">
        <is>
          <t>Report 5: Integration Test Report Iteration 3</t>
        </is>
      </c>
      <c r="C193" t="inlineStr">
        <is>
          <t>Trọng</t>
        </is>
      </c>
      <c r="D193" t="inlineStr">
        <is>
          <t>19/11/2026</t>
        </is>
      </c>
      <c r="E193" t="inlineStr">
        <is>
          <t>20/11/2026</t>
        </is>
      </c>
      <c r="F193" t="n">
        <v>1</v>
      </c>
      <c r="L193" s="7" t="n"/>
      <c r="M193" s="7" t="n"/>
      <c r="S193" s="7" t="n"/>
      <c r="T193" s="7" t="n"/>
      <c r="Z193" s="7" t="n"/>
      <c r="AA193" s="7" t="n"/>
      <c r="AG193" s="7" t="n"/>
      <c r="AH193" s="7" t="n"/>
      <c r="AN193" s="7" t="n"/>
      <c r="AO193" s="7" t="n"/>
      <c r="AU193" s="7" t="n"/>
      <c r="AV193" s="7" t="n"/>
      <c r="AZ193" s="9" t="n"/>
      <c r="BA193" s="9" t="n"/>
      <c r="BB193" s="7" t="n"/>
      <c r="BC193" s="7" t="n"/>
      <c r="BI193" s="7" t="n"/>
      <c r="BJ193" s="7" t="n"/>
      <c r="BP193" s="7" t="n"/>
      <c r="BQ193" s="7" t="n"/>
      <c r="BW193" s="7" t="n"/>
      <c r="BX193" s="7" t="n"/>
    </row>
    <row r="194">
      <c r="A194" t="inlineStr">
        <is>
          <t>ANGI-205</t>
        </is>
      </c>
      <c r="B194" s="8" t="inlineStr">
        <is>
          <t>Report 5: System Test Cases</t>
        </is>
      </c>
      <c r="C194" t="inlineStr">
        <is>
          <t>Đức</t>
        </is>
      </c>
      <c r="D194" t="inlineStr">
        <is>
          <t>19/11/2026</t>
        </is>
      </c>
      <c r="E194" t="inlineStr">
        <is>
          <t>21/11/2026</t>
        </is>
      </c>
      <c r="F194" t="n">
        <v>1</v>
      </c>
      <c r="L194" s="7" t="n"/>
      <c r="M194" s="7" t="n"/>
      <c r="S194" s="7" t="n"/>
      <c r="T194" s="7" t="n"/>
      <c r="Z194" s="7" t="n"/>
      <c r="AA194" s="7" t="n"/>
      <c r="AG194" s="7" t="n"/>
      <c r="AH194" s="7" t="n"/>
      <c r="AN194" s="7" t="n"/>
      <c r="AO194" s="7" t="n"/>
      <c r="AU194" s="7" t="n"/>
      <c r="AV194" s="7" t="n"/>
      <c r="AZ194" s="9" t="n"/>
      <c r="BA194" s="9" t="n"/>
      <c r="BB194" s="9" t="n"/>
      <c r="BC194" s="7" t="n"/>
      <c r="BI194" s="7" t="n"/>
      <c r="BJ194" s="7" t="n"/>
      <c r="BP194" s="7" t="n"/>
      <c r="BQ194" s="7" t="n"/>
      <c r="BW194" s="7" t="n"/>
      <c r="BX194" s="7" t="n"/>
    </row>
    <row r="195">
      <c r="A195" t="inlineStr">
        <is>
          <t>ANGI-206</t>
        </is>
      </c>
      <c r="B195" s="8" t="inlineStr">
        <is>
          <t>Fix bug integration test Iteration 3 (backend)</t>
        </is>
      </c>
      <c r="C195" t="inlineStr">
        <is>
          <t>Hưng</t>
        </is>
      </c>
      <c r="D195" t="inlineStr">
        <is>
          <t>19/11/2026</t>
        </is>
      </c>
      <c r="E195" t="inlineStr">
        <is>
          <t>21/11/2026</t>
        </is>
      </c>
      <c r="F195" t="n">
        <v>0</v>
      </c>
      <c r="L195" s="7" t="n"/>
      <c r="M195" s="7" t="n"/>
      <c r="S195" s="7" t="n"/>
      <c r="T195" s="7" t="n"/>
      <c r="Z195" s="7" t="n"/>
      <c r="AA195" s="7" t="n"/>
      <c r="AG195" s="7" t="n"/>
      <c r="AH195" s="7" t="n"/>
      <c r="AN195" s="7" t="n"/>
      <c r="AO195" s="7" t="n"/>
      <c r="AU195" s="7" t="n"/>
      <c r="AV195" s="7" t="n"/>
      <c r="AZ195" s="9" t="n"/>
      <c r="BA195" s="9" t="n"/>
      <c r="BB195" s="9" t="n"/>
      <c r="BC195" s="7" t="n"/>
      <c r="BI195" s="7" t="n"/>
      <c r="BJ195" s="7" t="n"/>
      <c r="BP195" s="7" t="n"/>
      <c r="BQ195" s="7" t="n"/>
      <c r="BW195" s="7" t="n"/>
      <c r="BX195" s="7" t="n"/>
    </row>
    <row r="196">
      <c r="A196" t="inlineStr">
        <is>
          <t>ANGI-207</t>
        </is>
      </c>
      <c r="B196" s="8" t="inlineStr">
        <is>
          <t>Fix bug integration test Iteration 3 (backend)</t>
        </is>
      </c>
      <c r="C196" t="inlineStr">
        <is>
          <t>Trọng</t>
        </is>
      </c>
      <c r="D196" t="inlineStr">
        <is>
          <t>19/11/2026</t>
        </is>
      </c>
      <c r="E196" t="inlineStr">
        <is>
          <t>21/11/2026</t>
        </is>
      </c>
      <c r="F196" t="n">
        <v>0</v>
      </c>
      <c r="L196" s="7" t="n"/>
      <c r="M196" s="7" t="n"/>
      <c r="S196" s="7" t="n"/>
      <c r="T196" s="7" t="n"/>
      <c r="Z196" s="7" t="n"/>
      <c r="AA196" s="7" t="n"/>
      <c r="AG196" s="7" t="n"/>
      <c r="AH196" s="7" t="n"/>
      <c r="AN196" s="7" t="n"/>
      <c r="AO196" s="7" t="n"/>
      <c r="AU196" s="7" t="n"/>
      <c r="AV196" s="7" t="n"/>
      <c r="AZ196" s="9" t="n"/>
      <c r="BA196" s="9" t="n"/>
      <c r="BB196" s="9" t="n"/>
      <c r="BC196" s="7" t="n"/>
      <c r="BI196" s="7" t="n"/>
      <c r="BJ196" s="7" t="n"/>
      <c r="BP196" s="7" t="n"/>
      <c r="BQ196" s="7" t="n"/>
      <c r="BW196" s="7" t="n"/>
      <c r="BX196" s="7" t="n"/>
    </row>
    <row r="197">
      <c r="A197" t="inlineStr">
        <is>
          <t>ANGI-208</t>
        </is>
      </c>
      <c r="B197" s="8" t="inlineStr">
        <is>
          <t>Fix bug integration test Iteration 3 (frontend)</t>
        </is>
      </c>
      <c r="C197" t="inlineStr">
        <is>
          <t>Tuấn</t>
        </is>
      </c>
      <c r="D197" t="inlineStr">
        <is>
          <t>19/11/2026</t>
        </is>
      </c>
      <c r="E197" t="inlineStr">
        <is>
          <t>21/11/2026</t>
        </is>
      </c>
      <c r="F197" t="n">
        <v>0</v>
      </c>
      <c r="L197" s="7" t="n"/>
      <c r="M197" s="7" t="n"/>
      <c r="S197" s="7" t="n"/>
      <c r="T197" s="7" t="n"/>
      <c r="Z197" s="7" t="n"/>
      <c r="AA197" s="7" t="n"/>
      <c r="AG197" s="7" t="n"/>
      <c r="AH197" s="7" t="n"/>
      <c r="AN197" s="7" t="n"/>
      <c r="AO197" s="7" t="n"/>
      <c r="AU197" s="7" t="n"/>
      <c r="AV197" s="7" t="n"/>
      <c r="AZ197" s="9" t="n"/>
      <c r="BA197" s="9" t="n"/>
      <c r="BB197" s="9" t="n"/>
      <c r="BC197" s="7" t="n"/>
      <c r="BI197" s="7" t="n"/>
      <c r="BJ197" s="7" t="n"/>
      <c r="BP197" s="7" t="n"/>
      <c r="BQ197" s="7" t="n"/>
      <c r="BW197" s="7" t="n"/>
      <c r="BX197" s="7" t="n"/>
    </row>
    <row r="198">
      <c r="A198" t="inlineStr">
        <is>
          <t>ANGI-209</t>
        </is>
      </c>
      <c r="B198" s="8" t="inlineStr">
        <is>
          <t>Fix bug integration test Iteration 3 (frontend)</t>
        </is>
      </c>
      <c r="C198" t="inlineStr">
        <is>
          <t>Đức</t>
        </is>
      </c>
      <c r="D198" t="inlineStr">
        <is>
          <t>19/11/2026</t>
        </is>
      </c>
      <c r="E198" t="inlineStr">
        <is>
          <t>21/11/2026</t>
        </is>
      </c>
      <c r="F198" t="n">
        <v>0</v>
      </c>
      <c r="L198" s="7" t="n"/>
      <c r="M198" s="7" t="n"/>
      <c r="S198" s="7" t="n"/>
      <c r="T198" s="7" t="n"/>
      <c r="Z198" s="7" t="n"/>
      <c r="AA198" s="7" t="n"/>
      <c r="AG198" s="7" t="n"/>
      <c r="AH198" s="7" t="n"/>
      <c r="AN198" s="7" t="n"/>
      <c r="AO198" s="7" t="n"/>
      <c r="AU198" s="7" t="n"/>
      <c r="AV198" s="7" t="n"/>
      <c r="AZ198" s="9" t="n"/>
      <c r="BA198" s="9" t="n"/>
      <c r="BB198" s="9" t="n"/>
      <c r="BC198" s="7" t="n"/>
      <c r="BI198" s="7" t="n"/>
      <c r="BJ198" s="7" t="n"/>
      <c r="BP198" s="7" t="n"/>
      <c r="BQ198" s="7" t="n"/>
      <c r="BW198" s="7" t="n"/>
      <c r="BX198" s="7" t="n"/>
    </row>
    <row r="199">
      <c r="A199" t="inlineStr">
        <is>
          <t>ANGI-210</t>
        </is>
      </c>
      <c r="B199" s="8" t="inlineStr">
        <is>
          <t>Fix bug integration test Iteration 3 (reco + hạ tầng)</t>
        </is>
      </c>
      <c r="C199" t="inlineStr">
        <is>
          <t>Dũng</t>
        </is>
      </c>
      <c r="D199" t="inlineStr">
        <is>
          <t>19/11/2026</t>
        </is>
      </c>
      <c r="E199" t="inlineStr">
        <is>
          <t>21/11/2026</t>
        </is>
      </c>
      <c r="F199" t="n">
        <v>0</v>
      </c>
      <c r="L199" s="7" t="n"/>
      <c r="M199" s="7" t="n"/>
      <c r="S199" s="7" t="n"/>
      <c r="T199" s="7" t="n"/>
      <c r="Z199" s="7" t="n"/>
      <c r="AA199" s="7" t="n"/>
      <c r="AG199" s="7" t="n"/>
      <c r="AH199" s="7" t="n"/>
      <c r="AN199" s="7" t="n"/>
      <c r="AO199" s="7" t="n"/>
      <c r="AU199" s="7" t="n"/>
      <c r="AV199" s="7" t="n"/>
      <c r="AZ199" s="9" t="n"/>
      <c r="BA199" s="9" t="n"/>
      <c r="BB199" s="9" t="n"/>
      <c r="BC199" s="7" t="n"/>
      <c r="BI199" s="7" t="n"/>
      <c r="BJ199" s="7" t="n"/>
      <c r="BP199" s="7" t="n"/>
      <c r="BQ199" s="7" t="n"/>
      <c r="BW199" s="7" t="n"/>
      <c r="BX199" s="7" t="n"/>
    </row>
    <row r="200">
      <c r="A200" t="inlineStr">
        <is>
          <t>ANGI-211</t>
        </is>
      </c>
      <c r="B200" s="8" t="inlineStr">
        <is>
          <t>Software Package Version 3 (deploy + release note)</t>
        </is>
      </c>
      <c r="C200" t="inlineStr">
        <is>
          <t>Dũng</t>
        </is>
      </c>
      <c r="D200" t="inlineStr">
        <is>
          <t>22/11/2026</t>
        </is>
      </c>
      <c r="E200" t="inlineStr">
        <is>
          <t>22/11/2026</t>
        </is>
      </c>
      <c r="F200" t="n">
        <v>0</v>
      </c>
      <c r="L200" s="7" t="n"/>
      <c r="M200" s="7" t="n"/>
      <c r="S200" s="7" t="n"/>
      <c r="T200" s="7" t="n"/>
      <c r="Z200" s="7" t="n"/>
      <c r="AA200" s="7" t="n"/>
      <c r="AG200" s="7" t="n"/>
      <c r="AH200" s="7" t="n"/>
      <c r="AN200" s="7" t="n"/>
      <c r="AO200" s="7" t="n"/>
      <c r="AU200" s="7" t="n"/>
      <c r="AV200" s="7" t="n"/>
      <c r="BB200" s="7" t="n"/>
      <c r="BC200" s="9" t="n"/>
      <c r="BI200" s="7" t="n"/>
      <c r="BJ200" s="7" t="n"/>
      <c r="BP200" s="7" t="n"/>
      <c r="BQ200" s="7" t="n"/>
      <c r="BW200" s="7" t="n"/>
      <c r="BX200" s="7" t="n"/>
    </row>
    <row r="201">
      <c r="A201" t="inlineStr">
        <is>
          <t>ANGI-212</t>
        </is>
      </c>
      <c r="B201" s="8" t="inlineStr">
        <is>
          <t>Report 5: System Test Report (chạy system test)</t>
        </is>
      </c>
      <c r="C201" t="inlineStr">
        <is>
          <t>Đức</t>
        </is>
      </c>
      <c r="D201" t="inlineStr">
        <is>
          <t>23/11/2026</t>
        </is>
      </c>
      <c r="E201" t="inlineStr">
        <is>
          <t>25/11/2026</t>
        </is>
      </c>
      <c r="F201" t="n">
        <v>0</v>
      </c>
      <c r="L201" s="7" t="n"/>
      <c r="M201" s="7" t="n"/>
      <c r="S201" s="7" t="n"/>
      <c r="T201" s="7" t="n"/>
      <c r="Z201" s="7" t="n"/>
      <c r="AA201" s="7" t="n"/>
      <c r="AG201" s="7" t="n"/>
      <c r="AH201" s="7" t="n"/>
      <c r="AN201" s="7" t="n"/>
      <c r="AO201" s="7" t="n"/>
      <c r="AU201" s="7" t="n"/>
      <c r="AV201" s="7" t="n"/>
      <c r="BB201" s="7" t="n"/>
      <c r="BC201" s="7" t="n"/>
      <c r="BD201" s="9" t="n"/>
      <c r="BE201" s="9" t="n"/>
      <c r="BF201" s="9" t="n"/>
      <c r="BI201" s="7" t="n"/>
      <c r="BJ201" s="7" t="n"/>
      <c r="BP201" s="7" t="n"/>
      <c r="BQ201" s="7" t="n"/>
      <c r="BW201" s="7" t="n"/>
      <c r="BX201" s="7" t="n"/>
    </row>
    <row r="202">
      <c r="A202" t="inlineStr">
        <is>
          <t>ANGI-213</t>
        </is>
      </c>
      <c r="B202" s="8" t="inlineStr">
        <is>
          <t>Fix bug backend sau system test (auth, restaurant, roadmap)</t>
        </is>
      </c>
      <c r="C202" t="inlineStr">
        <is>
          <t>Hưng</t>
        </is>
      </c>
      <c r="D202" t="inlineStr">
        <is>
          <t>26/11/2026</t>
        </is>
      </c>
      <c r="E202" t="inlineStr">
        <is>
          <t>03/12/2026</t>
        </is>
      </c>
      <c r="F202" t="n">
        <v>0</v>
      </c>
      <c r="L202" s="7" t="n"/>
      <c r="M202" s="7" t="n"/>
      <c r="S202" s="7" t="n"/>
      <c r="T202" s="7" t="n"/>
      <c r="Z202" s="7" t="n"/>
      <c r="AA202" s="7" t="n"/>
      <c r="AG202" s="7" t="n"/>
      <c r="AH202" s="7" t="n"/>
      <c r="AN202" s="7" t="n"/>
      <c r="AO202" s="7" t="n"/>
      <c r="AU202" s="7" t="n"/>
      <c r="AV202" s="7" t="n"/>
      <c r="BB202" s="7" t="n"/>
      <c r="BC202" s="7" t="n"/>
      <c r="BG202" s="9" t="n"/>
      <c r="BH202" s="9" t="n"/>
      <c r="BI202" s="9" t="n"/>
      <c r="BJ202" s="9" t="n"/>
      <c r="BK202" s="9" t="n"/>
      <c r="BL202" s="9" t="n"/>
      <c r="BM202" s="9" t="n"/>
      <c r="BN202" s="9" t="n"/>
      <c r="BP202" s="7" t="n"/>
      <c r="BQ202" s="7" t="n"/>
      <c r="BW202" s="7" t="n"/>
      <c r="BX202" s="7" t="n"/>
    </row>
    <row r="203">
      <c r="A203" t="inlineStr">
        <is>
          <t>ANGI-214</t>
        </is>
      </c>
      <c r="B203" s="8" t="inlineStr">
        <is>
          <t>Fix bug backend sau system test (account, discovery, blog, moderation, admin)</t>
        </is>
      </c>
      <c r="C203" t="inlineStr">
        <is>
          <t>Trọng</t>
        </is>
      </c>
      <c r="D203" t="inlineStr">
        <is>
          <t>26/11/2026</t>
        </is>
      </c>
      <c r="E203" t="inlineStr">
        <is>
          <t>03/12/2026</t>
        </is>
      </c>
      <c r="F203" t="n">
        <v>0</v>
      </c>
      <c r="L203" s="7" t="n"/>
      <c r="M203" s="7" t="n"/>
      <c r="S203" s="7" t="n"/>
      <c r="T203" s="7" t="n"/>
      <c r="Z203" s="7" t="n"/>
      <c r="AA203" s="7" t="n"/>
      <c r="AG203" s="7" t="n"/>
      <c r="AH203" s="7" t="n"/>
      <c r="AN203" s="7" t="n"/>
      <c r="AO203" s="7" t="n"/>
      <c r="AU203" s="7" t="n"/>
      <c r="AV203" s="7" t="n"/>
      <c r="BB203" s="7" t="n"/>
      <c r="BC203" s="7" t="n"/>
      <c r="BG203" s="9" t="n"/>
      <c r="BH203" s="9" t="n"/>
      <c r="BI203" s="9" t="n"/>
      <c r="BJ203" s="9" t="n"/>
      <c r="BK203" s="9" t="n"/>
      <c r="BL203" s="9" t="n"/>
      <c r="BM203" s="9" t="n"/>
      <c r="BN203" s="9" t="n"/>
      <c r="BP203" s="7" t="n"/>
      <c r="BQ203" s="7" t="n"/>
      <c r="BW203" s="7" t="n"/>
      <c r="BX203" s="7" t="n"/>
    </row>
    <row r="204">
      <c r="A204" t="inlineStr">
        <is>
          <t>ANGI-215</t>
        </is>
      </c>
      <c r="B204" s="8" t="inlineStr">
        <is>
          <t>Fix bug frontend sau system test (owner, roadmap, admin)</t>
        </is>
      </c>
      <c r="C204" t="inlineStr">
        <is>
          <t>Tuấn</t>
        </is>
      </c>
      <c r="D204" t="inlineStr">
        <is>
          <t>26/11/2026</t>
        </is>
      </c>
      <c r="E204" t="inlineStr">
        <is>
          <t>03/12/2026</t>
        </is>
      </c>
      <c r="F204" t="n">
        <v>0</v>
      </c>
      <c r="L204" s="7" t="n"/>
      <c r="M204" s="7" t="n"/>
      <c r="S204" s="7" t="n"/>
      <c r="T204" s="7" t="n"/>
      <c r="Z204" s="7" t="n"/>
      <c r="AA204" s="7" t="n"/>
      <c r="AG204" s="7" t="n"/>
      <c r="AH204" s="7" t="n"/>
      <c r="AN204" s="7" t="n"/>
      <c r="AO204" s="7" t="n"/>
      <c r="AU204" s="7" t="n"/>
      <c r="AV204" s="7" t="n"/>
      <c r="BB204" s="7" t="n"/>
      <c r="BC204" s="7" t="n"/>
      <c r="BG204" s="9" t="n"/>
      <c r="BH204" s="9" t="n"/>
      <c r="BI204" s="9" t="n"/>
      <c r="BJ204" s="9" t="n"/>
      <c r="BK204" s="9" t="n"/>
      <c r="BL204" s="9" t="n"/>
      <c r="BM204" s="9" t="n"/>
      <c r="BN204" s="9" t="n"/>
      <c r="BP204" s="7" t="n"/>
      <c r="BQ204" s="7" t="n"/>
      <c r="BW204" s="7" t="n"/>
      <c r="BX204" s="7" t="n"/>
    </row>
    <row r="205">
      <c r="A205" t="inlineStr">
        <is>
          <t>ANGI-216</t>
        </is>
      </c>
      <c r="B205" s="8" t="inlineStr">
        <is>
          <t>Fix bug frontend sau system test (auth, discovery, blog, moderation)</t>
        </is>
      </c>
      <c r="C205" t="inlineStr">
        <is>
          <t>Đức</t>
        </is>
      </c>
      <c r="D205" t="inlineStr">
        <is>
          <t>26/11/2026</t>
        </is>
      </c>
      <c r="E205" t="inlineStr">
        <is>
          <t>03/12/2026</t>
        </is>
      </c>
      <c r="F205" t="n">
        <v>0</v>
      </c>
      <c r="L205" s="7" t="n"/>
      <c r="M205" s="7" t="n"/>
      <c r="S205" s="7" t="n"/>
      <c r="T205" s="7" t="n"/>
      <c r="Z205" s="7" t="n"/>
      <c r="AA205" s="7" t="n"/>
      <c r="AG205" s="7" t="n"/>
      <c r="AH205" s="7" t="n"/>
      <c r="AN205" s="7" t="n"/>
      <c r="AO205" s="7" t="n"/>
      <c r="AU205" s="7" t="n"/>
      <c r="AV205" s="7" t="n"/>
      <c r="BB205" s="7" t="n"/>
      <c r="BC205" s="7" t="n"/>
      <c r="BG205" s="9" t="n"/>
      <c r="BH205" s="9" t="n"/>
      <c r="BI205" s="9" t="n"/>
      <c r="BJ205" s="9" t="n"/>
      <c r="BK205" s="9" t="n"/>
      <c r="BL205" s="9" t="n"/>
      <c r="BM205" s="9" t="n"/>
      <c r="BN205" s="9" t="n"/>
      <c r="BP205" s="7" t="n"/>
      <c r="BQ205" s="7" t="n"/>
      <c r="BW205" s="7" t="n"/>
      <c r="BX205" s="7" t="n"/>
    </row>
    <row r="206">
      <c r="A206" t="inlineStr">
        <is>
          <t>ANGI-217</t>
        </is>
      </c>
      <c r="B206" s="8" t="inlineStr">
        <is>
          <t>Fix bug reco + hạ tầng sau system test</t>
        </is>
      </c>
      <c r="C206" t="inlineStr">
        <is>
          <t>Dũng</t>
        </is>
      </c>
      <c r="D206" t="inlineStr">
        <is>
          <t>26/11/2026</t>
        </is>
      </c>
      <c r="E206" t="inlineStr">
        <is>
          <t>03/12/2026</t>
        </is>
      </c>
      <c r="F206" t="n">
        <v>0</v>
      </c>
      <c r="L206" s="7" t="n"/>
      <c r="M206" s="7" t="n"/>
      <c r="S206" s="7" t="n"/>
      <c r="T206" s="7" t="n"/>
      <c r="Z206" s="7" t="n"/>
      <c r="AA206" s="7" t="n"/>
      <c r="AG206" s="7" t="n"/>
      <c r="AH206" s="7" t="n"/>
      <c r="AN206" s="7" t="n"/>
      <c r="AO206" s="7" t="n"/>
      <c r="AU206" s="7" t="n"/>
      <c r="AV206" s="7" t="n"/>
      <c r="BB206" s="7" t="n"/>
      <c r="BC206" s="7" t="n"/>
      <c r="BG206" s="9" t="n"/>
      <c r="BH206" s="9" t="n"/>
      <c r="BI206" s="9" t="n"/>
      <c r="BJ206" s="9" t="n"/>
      <c r="BK206" s="9" t="n"/>
      <c r="BL206" s="9" t="n"/>
      <c r="BM206" s="9" t="n"/>
      <c r="BN206" s="9" t="n"/>
      <c r="BP206" s="7" t="n"/>
      <c r="BQ206" s="7" t="n"/>
      <c r="BW206" s="7" t="n"/>
      <c r="BX206" s="7" t="n"/>
    </row>
    <row r="207">
      <c r="A207" t="inlineStr">
        <is>
          <t>ANGI-218</t>
        </is>
      </c>
      <c r="B207" t="inlineStr">
        <is>
          <t>Acceptance Test Support (demo với GVHD, ghi nhận lỗi)</t>
        </is>
      </c>
      <c r="C207" t="inlineStr">
        <is>
          <t>Tuấn</t>
        </is>
      </c>
      <c r="D207" t="inlineStr">
        <is>
          <t>30/11/2026</t>
        </is>
      </c>
      <c r="E207" t="inlineStr">
        <is>
          <t>01/12/2026</t>
        </is>
      </c>
      <c r="F207" t="n">
        <v>12</v>
      </c>
      <c r="L207" s="7" t="n"/>
      <c r="M207" s="7" t="n"/>
      <c r="S207" s="7" t="n"/>
      <c r="T207" s="7" t="n"/>
      <c r="Z207" s="7" t="n"/>
      <c r="AA207" s="7" t="n"/>
      <c r="AG207" s="7" t="n"/>
      <c r="AH207" s="7" t="n"/>
      <c r="AN207" s="7" t="n"/>
      <c r="AO207" s="7" t="n"/>
      <c r="AU207" s="7" t="n"/>
      <c r="AV207" s="7" t="n"/>
      <c r="BB207" s="7" t="n"/>
      <c r="BC207" s="7" t="n"/>
      <c r="BI207" s="7" t="n"/>
      <c r="BJ207" s="7" t="n"/>
      <c r="BK207" s="6" t="n"/>
      <c r="BL207" s="6" t="n"/>
      <c r="BP207" s="7" t="n"/>
      <c r="BQ207" s="7" t="n"/>
      <c r="BW207" s="7" t="n"/>
      <c r="BX207" s="7" t="n"/>
    </row>
    <row r="208">
      <c r="A208" t="inlineStr">
        <is>
          <t>ANGI-219</t>
        </is>
      </c>
      <c r="B208" t="inlineStr">
        <is>
          <t>Report 6: User Guides (Installation Guide, User Manual)</t>
        </is>
      </c>
      <c r="C208" t="inlineStr">
        <is>
          <t>Đức</t>
        </is>
      </c>
      <c r="D208" t="inlineStr">
        <is>
          <t>01/12/2026</t>
        </is>
      </c>
      <c r="E208" t="inlineStr">
        <is>
          <t>03/12/2026</t>
        </is>
      </c>
      <c r="F208" t="n">
        <v>2</v>
      </c>
      <c r="L208" s="7" t="n"/>
      <c r="M208" s="7" t="n"/>
      <c r="S208" s="7" t="n"/>
      <c r="T208" s="7" t="n"/>
      <c r="Z208" s="7" t="n"/>
      <c r="AA208" s="7" t="n"/>
      <c r="AG208" s="7" t="n"/>
      <c r="AH208" s="7" t="n"/>
      <c r="AN208" s="7" t="n"/>
      <c r="AO208" s="7" t="n"/>
      <c r="AU208" s="7" t="n"/>
      <c r="AV208" s="7" t="n"/>
      <c r="BB208" s="7" t="n"/>
      <c r="BC208" s="7" t="n"/>
      <c r="BI208" s="7" t="n"/>
      <c r="BJ208" s="7" t="n"/>
      <c r="BL208" s="6" t="n"/>
      <c r="BM208" s="6" t="n"/>
      <c r="BN208" s="6" t="n"/>
      <c r="BP208" s="7" t="n"/>
      <c r="BQ208" s="7" t="n"/>
      <c r="BW208" s="7" t="n"/>
      <c r="BX208" s="7" t="n"/>
    </row>
    <row r="209">
      <c r="A209" t="inlineStr">
        <is>
          <t>ANGI-220</t>
        </is>
      </c>
      <c r="B209" s="8" t="inlineStr">
        <is>
          <t>Deploy bản cuối (Render + Vercel) và kiểm tra sau deploy</t>
        </is>
      </c>
      <c r="C209" t="inlineStr">
        <is>
          <t>Dũng</t>
        </is>
      </c>
      <c r="D209" t="inlineStr">
        <is>
          <t>04/12/2026</t>
        </is>
      </c>
      <c r="E209" t="inlineStr">
        <is>
          <t>05/12/2026</t>
        </is>
      </c>
      <c r="F209" t="n">
        <v>0</v>
      </c>
      <c r="L209" s="7" t="n"/>
      <c r="M209" s="7" t="n"/>
      <c r="S209" s="7" t="n"/>
      <c r="T209" s="7" t="n"/>
      <c r="Z209" s="7" t="n"/>
      <c r="AA209" s="7" t="n"/>
      <c r="AG209" s="7" t="n"/>
      <c r="AH209" s="7" t="n"/>
      <c r="AN209" s="7" t="n"/>
      <c r="AO209" s="7" t="n"/>
      <c r="AU209" s="7" t="n"/>
      <c r="AV209" s="7" t="n"/>
      <c r="BB209" s="7" t="n"/>
      <c r="BC209" s="7" t="n"/>
      <c r="BI209" s="7" t="n"/>
      <c r="BJ209" s="7" t="n"/>
      <c r="BO209" s="9" t="n"/>
      <c r="BP209" s="9" t="n"/>
      <c r="BQ209" s="7" t="n"/>
      <c r="BW209" s="7" t="n"/>
      <c r="BX209" s="7" t="n"/>
    </row>
    <row r="210">
      <c r="A210" t="inlineStr">
        <is>
          <t>ANGI-221</t>
        </is>
      </c>
      <c r="B210" s="8" t="inlineStr">
        <is>
          <t>Final Software Package (docs, source code)</t>
        </is>
      </c>
      <c r="C210" t="inlineStr">
        <is>
          <t>Tuấn</t>
        </is>
      </c>
      <c r="D210" t="inlineStr">
        <is>
          <t>06/12/2026</t>
        </is>
      </c>
      <c r="E210" t="inlineStr">
        <is>
          <t>06/12/2026</t>
        </is>
      </c>
      <c r="F210" t="n">
        <v>0</v>
      </c>
      <c r="L210" s="7" t="n"/>
      <c r="M210" s="7" t="n"/>
      <c r="S210" s="7" t="n"/>
      <c r="T210" s="7" t="n"/>
      <c r="Z210" s="7" t="n"/>
      <c r="AA210" s="7" t="n"/>
      <c r="AG210" s="7" t="n"/>
      <c r="AH210" s="7" t="n"/>
      <c r="AN210" s="7" t="n"/>
      <c r="AO210" s="7" t="n"/>
      <c r="AU210" s="7" t="n"/>
      <c r="AV210" s="7" t="n"/>
      <c r="BB210" s="7" t="n"/>
      <c r="BC210" s="7" t="n"/>
      <c r="BI210" s="7" t="n"/>
      <c r="BJ210" s="7" t="n"/>
      <c r="BP210" s="7" t="n"/>
      <c r="BQ210" s="9" t="n"/>
      <c r="BW210" s="7" t="n"/>
      <c r="BX210" s="7" t="n"/>
    </row>
    <row r="211">
      <c r="A211" t="inlineStr">
        <is>
          <t>ANGI-222</t>
        </is>
      </c>
      <c r="B211" s="8" t="inlineStr">
        <is>
          <t>Report 7: Final Project Report</t>
        </is>
      </c>
      <c r="C211" t="inlineStr">
        <is>
          <t>Dũng</t>
        </is>
      </c>
      <c r="D211" t="inlineStr">
        <is>
          <t>07/12/2026</t>
        </is>
      </c>
      <c r="E211" t="inlineStr">
        <is>
          <t>11/12/2026</t>
        </is>
      </c>
      <c r="F211" t="n">
        <v>0</v>
      </c>
      <c r="L211" s="7" t="n"/>
      <c r="M211" s="7" t="n"/>
      <c r="S211" s="7" t="n"/>
      <c r="T211" s="7" t="n"/>
      <c r="Z211" s="7" t="n"/>
      <c r="AA211" s="7" t="n"/>
      <c r="AG211" s="7" t="n"/>
      <c r="AH211" s="7" t="n"/>
      <c r="AN211" s="7" t="n"/>
      <c r="AO211" s="7" t="n"/>
      <c r="AU211" s="7" t="n"/>
      <c r="AV211" s="7" t="n"/>
      <c r="BB211" s="7" t="n"/>
      <c r="BC211" s="7" t="n"/>
      <c r="BI211" s="7" t="n"/>
      <c r="BJ211" s="7" t="n"/>
      <c r="BP211" s="7" t="n"/>
      <c r="BQ211" s="7" t="n"/>
      <c r="BR211" s="9" t="n"/>
      <c r="BS211" s="9" t="n"/>
      <c r="BT211" s="9" t="n"/>
      <c r="BU211" s="9" t="n"/>
      <c r="BV211" s="9" t="n"/>
      <c r="BW211" s="7" t="n"/>
      <c r="BX211" s="7" t="n"/>
    </row>
    <row r="212">
      <c r="A212" t="inlineStr">
        <is>
          <t>ANGI-223</t>
        </is>
      </c>
      <c r="B212" s="8" t="inlineStr">
        <is>
          <t>Presentation File (slide bảo vệ)</t>
        </is>
      </c>
      <c r="C212" t="inlineStr">
        <is>
          <t>Dũng</t>
        </is>
      </c>
      <c r="D212" t="inlineStr">
        <is>
          <t>12/12/2026</t>
        </is>
      </c>
      <c r="E212" t="inlineStr">
        <is>
          <t>13/12/2026</t>
        </is>
      </c>
      <c r="F212" t="n">
        <v>0</v>
      </c>
      <c r="L212" s="7" t="n"/>
      <c r="M212" s="7" t="n"/>
      <c r="S212" s="7" t="n"/>
      <c r="T212" s="7" t="n"/>
      <c r="Z212" s="7" t="n"/>
      <c r="AA212" s="7" t="n"/>
      <c r="AG212" s="7" t="n"/>
      <c r="AH212" s="7" t="n"/>
      <c r="AN212" s="7" t="n"/>
      <c r="AO212" s="7" t="n"/>
      <c r="AU212" s="7" t="n"/>
      <c r="AV212" s="7" t="n"/>
      <c r="BB212" s="7" t="n"/>
      <c r="BC212" s="7" t="n"/>
      <c r="BI212" s="7" t="n"/>
      <c r="BJ212" s="7" t="n"/>
      <c r="BP212" s="7" t="n"/>
      <c r="BQ212" s="7" t="n"/>
      <c r="BW212" s="9" t="n"/>
      <c r="BX212" s="9"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0" customWidth="1" min="8" max="8"/>
  </cols>
  <sheetData>
    <row r="1">
      <c r="A1" s="1" t="inlineStr">
        <is>
          <t>Thành viên</t>
        </is>
      </c>
      <c r="B1" s="1" t="inlineStr">
        <is>
          <t>ANGI Sprint 0</t>
        </is>
      </c>
      <c r="C1" s="1" t="inlineStr">
        <is>
          <t>ANGI Sprint 1</t>
        </is>
      </c>
      <c r="D1" s="1" t="inlineStr">
        <is>
          <t>ANGI Sprint 2</t>
        </is>
      </c>
      <c r="E1" s="1" t="inlineStr">
        <is>
          <t>ANGI Sprint 3</t>
        </is>
      </c>
      <c r="F1" s="1" t="inlineStr">
        <is>
          <t>ANGI Sprint 4</t>
        </is>
      </c>
      <c r="G1" s="1" t="inlineStr">
        <is>
          <t>ANGI Sprint 5</t>
        </is>
      </c>
      <c r="H1" s="1" t="inlineStr">
        <is>
          <t>Tổng</t>
        </is>
      </c>
    </row>
    <row r="2">
      <c r="A2" s="10" t="inlineStr">
        <is>
          <t>Dũng</t>
        </is>
      </c>
      <c r="B2" s="10">
        <f>SUMIFS(Backlog!$H:$H,Backlog!$E:$E,$A2,Backlog!$F:$F,"ANGI Sprint 0")</f>
        <v/>
      </c>
      <c r="C2" s="10">
        <f>SUMIFS(Backlog!$H:$H,Backlog!$E:$E,$A2,Backlog!$F:$F,"ANGI Sprint 1")</f>
        <v/>
      </c>
      <c r="D2" s="10">
        <f>SUMIFS(Backlog!$H:$H,Backlog!$E:$E,$A2,Backlog!$F:$F,"ANGI Sprint 2")</f>
        <v/>
      </c>
      <c r="E2" s="10">
        <f>SUMIFS(Backlog!$H:$H,Backlog!$E:$E,$A2,Backlog!$F:$F,"ANGI Sprint 3")</f>
        <v/>
      </c>
      <c r="F2" s="10">
        <f>SUMIFS(Backlog!$H:$H,Backlog!$E:$E,$A2,Backlog!$F:$F,"ANGI Sprint 4")</f>
        <v/>
      </c>
      <c r="G2" s="10">
        <f>SUMIFS(Backlog!$H:$H,Backlog!$E:$E,$A2,Backlog!$F:$F,"ANGI Sprint 5")</f>
        <v/>
      </c>
      <c r="H2" s="10">
        <f>SUM(B2:G2)</f>
        <v/>
      </c>
    </row>
    <row r="3">
      <c r="A3" s="10" t="inlineStr">
        <is>
          <t>Hưng</t>
        </is>
      </c>
      <c r="B3" s="10">
        <f>SUMIFS(Backlog!$H:$H,Backlog!$E:$E,$A3,Backlog!$F:$F,"ANGI Sprint 0")</f>
        <v/>
      </c>
      <c r="C3" s="10">
        <f>SUMIFS(Backlog!$H:$H,Backlog!$E:$E,$A3,Backlog!$F:$F,"ANGI Sprint 1")</f>
        <v/>
      </c>
      <c r="D3" s="10">
        <f>SUMIFS(Backlog!$H:$H,Backlog!$E:$E,$A3,Backlog!$F:$F,"ANGI Sprint 2")</f>
        <v/>
      </c>
      <c r="E3" s="10">
        <f>SUMIFS(Backlog!$H:$H,Backlog!$E:$E,$A3,Backlog!$F:$F,"ANGI Sprint 3")</f>
        <v/>
      </c>
      <c r="F3" s="10">
        <f>SUMIFS(Backlog!$H:$H,Backlog!$E:$E,$A3,Backlog!$F:$F,"ANGI Sprint 4")</f>
        <v/>
      </c>
      <c r="G3" s="10">
        <f>SUMIFS(Backlog!$H:$H,Backlog!$E:$E,$A3,Backlog!$F:$F,"ANGI Sprint 5")</f>
        <v/>
      </c>
      <c r="H3" s="10">
        <f>SUM(B3:G3)</f>
        <v/>
      </c>
    </row>
    <row r="4">
      <c r="A4" s="10" t="inlineStr">
        <is>
          <t>Trọng</t>
        </is>
      </c>
      <c r="B4" s="10">
        <f>SUMIFS(Backlog!$H:$H,Backlog!$E:$E,$A4,Backlog!$F:$F,"ANGI Sprint 0")</f>
        <v/>
      </c>
      <c r="C4" s="10">
        <f>SUMIFS(Backlog!$H:$H,Backlog!$E:$E,$A4,Backlog!$F:$F,"ANGI Sprint 1")</f>
        <v/>
      </c>
      <c r="D4" s="10">
        <f>SUMIFS(Backlog!$H:$H,Backlog!$E:$E,$A4,Backlog!$F:$F,"ANGI Sprint 2")</f>
        <v/>
      </c>
      <c r="E4" s="10">
        <f>SUMIFS(Backlog!$H:$H,Backlog!$E:$E,$A4,Backlog!$F:$F,"ANGI Sprint 3")</f>
        <v/>
      </c>
      <c r="F4" s="10">
        <f>SUMIFS(Backlog!$H:$H,Backlog!$E:$E,$A4,Backlog!$F:$F,"ANGI Sprint 4")</f>
        <v/>
      </c>
      <c r="G4" s="10">
        <f>SUMIFS(Backlog!$H:$H,Backlog!$E:$E,$A4,Backlog!$F:$F,"ANGI Sprint 5")</f>
        <v/>
      </c>
      <c r="H4" s="10">
        <f>SUM(B4:G4)</f>
        <v/>
      </c>
    </row>
    <row r="5">
      <c r="A5" s="10" t="inlineStr">
        <is>
          <t>Tuấn</t>
        </is>
      </c>
      <c r="B5" s="10">
        <f>SUMIFS(Backlog!$H:$H,Backlog!$E:$E,$A5,Backlog!$F:$F,"ANGI Sprint 0")</f>
        <v/>
      </c>
      <c r="C5" s="10">
        <f>SUMIFS(Backlog!$H:$H,Backlog!$E:$E,$A5,Backlog!$F:$F,"ANGI Sprint 1")</f>
        <v/>
      </c>
      <c r="D5" s="10">
        <f>SUMIFS(Backlog!$H:$H,Backlog!$E:$E,$A5,Backlog!$F:$F,"ANGI Sprint 2")</f>
        <v/>
      </c>
      <c r="E5" s="10">
        <f>SUMIFS(Backlog!$H:$H,Backlog!$E:$E,$A5,Backlog!$F:$F,"ANGI Sprint 3")</f>
        <v/>
      </c>
      <c r="F5" s="10">
        <f>SUMIFS(Backlog!$H:$H,Backlog!$E:$E,$A5,Backlog!$F:$F,"ANGI Sprint 4")</f>
        <v/>
      </c>
      <c r="G5" s="10">
        <f>SUMIFS(Backlog!$H:$H,Backlog!$E:$E,$A5,Backlog!$F:$F,"ANGI Sprint 5")</f>
        <v/>
      </c>
      <c r="H5" s="10">
        <f>SUM(B5:G5)</f>
        <v/>
      </c>
    </row>
    <row r="6">
      <c r="A6" s="10" t="inlineStr">
        <is>
          <t>Đức</t>
        </is>
      </c>
      <c r="B6" s="10">
        <f>SUMIFS(Backlog!$H:$H,Backlog!$E:$E,$A6,Backlog!$F:$F,"ANGI Sprint 0")</f>
        <v/>
      </c>
      <c r="C6" s="10">
        <f>SUMIFS(Backlog!$H:$H,Backlog!$E:$E,$A6,Backlog!$F:$F,"ANGI Sprint 1")</f>
        <v/>
      </c>
      <c r="D6" s="10">
        <f>SUMIFS(Backlog!$H:$H,Backlog!$E:$E,$A6,Backlog!$F:$F,"ANGI Sprint 2")</f>
        <v/>
      </c>
      <c r="E6" s="10">
        <f>SUMIFS(Backlog!$H:$H,Backlog!$E:$E,$A6,Backlog!$F:$F,"ANGI Sprint 3")</f>
        <v/>
      </c>
      <c r="F6" s="10">
        <f>SUMIFS(Backlog!$H:$H,Backlog!$E:$E,$A6,Backlog!$F:$F,"ANGI Sprint 4")</f>
        <v/>
      </c>
      <c r="G6" s="10">
        <f>SUMIFS(Backlog!$H:$H,Backlog!$E:$E,$A6,Backlog!$F:$F,"ANGI Sprint 5")</f>
        <v/>
      </c>
      <c r="H6" s="10">
        <f>SUM(B6:G6)</f>
        <v/>
      </c>
    </row>
    <row r="8">
      <c r="A8" s="11" t="inlineStr">
        <is>
          <t>Đơn vị: story point. Dũng gánh thêm việc PM nên tải code để thấp hơn các bạn khác.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2026-10-06T18:21:39Z</dcterms:created>
  <dcterms:modified xsi:type="dcterms:W3CDTF">2026-10-06T18:21:39Z</dcterms:modified>
</cp:coreProperties>
</file>