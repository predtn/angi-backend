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Core" sheetId="2" r:id="rId5"/>
    <sheet state="visible" name="Recommendation" sheetId="3" r:id="rId6"/>
  </sheets>
  <definedNames>
    <definedName hidden="1" localSheetId="1" name="_xlnm._FilterDatabase">Core!$A$1:$G$338</definedName>
    <definedName hidden="1" localSheetId="2" name="_xlnm._FilterDatabase">Recommendation!$A$1:$G$91</definedName>
  </definedNames>
  <calcPr/>
  <extLst>
    <ext uri="GoogleSheetsCustomDataVersion2">
      <go:sheetsCustomData xmlns:go="http://customooxmlschemas.google.com/" r:id="rId7" roundtripDataChecksum="jQjwlkQ3FMp8GaNSeh1TDFUnhs3q6CxioD2EVZVQg5k="/>
    </ext>
  </extLst>
</workbook>
</file>

<file path=xl/sharedStrings.xml><?xml version="1.0" encoding="utf-8"?>
<sst xmlns="http://schemas.openxmlformats.org/spreadsheetml/2006/main" count="2340" uniqueCount="766">
  <si>
    <t>ANGI – Từ điển dữ liệu (Data Dictionary)</t>
  </si>
  <si>
    <t>Tên bảng</t>
  </si>
  <si>
    <t>Tên trường</t>
  </si>
  <si>
    <t>Kiểu dữ liệu</t>
  </si>
  <si>
    <t>Not null / Nullable</t>
  </si>
  <si>
    <t>Mô tả trường</t>
  </si>
  <si>
    <t>Khóa</t>
  </si>
  <si>
    <t>Mặc định</t>
  </si>
  <si>
    <t>STT</t>
  </si>
  <si>
    <t>Schema</t>
  </si>
  <si>
    <t>Mô tả bảng</t>
  </si>
  <si>
    <t>Số trường</t>
  </si>
  <si>
    <t>algorithm_configs  —  Cấu hình thuật toán có phiên bản</t>
  </si>
  <si>
    <t>core</t>
  </si>
  <si>
    <t>roles  —  Danh mục role: Traveler, Restaurant Owner, Mod, Admin</t>
  </si>
  <si>
    <t>algorithm_configs</t>
  </si>
  <si>
    <t>config_version</t>
  </si>
  <si>
    <t>integer</t>
  </si>
  <si>
    <t>NOT NULL</t>
  </si>
  <si>
    <t>Số phiên bản cấu hình</t>
  </si>
  <si>
    <t>roles</t>
  </si>
  <si>
    <t>PK</t>
  </si>
  <si>
    <t>id</t>
  </si>
  <si>
    <t>params</t>
  </si>
  <si>
    <t>jsonb</t>
  </si>
  <si>
    <t>smallint</t>
  </si>
  <si>
    <t>{"beta_u":0.03,"beta_s":0.03,"k":5,"k_prime":5,"z":1.96,"gamma":0.1,"explicit_norm":"minmax_cosine","ontology_version":1}</t>
  </si>
  <si>
    <t>Khóa chính role</t>
  </si>
  <si>
    <t>is_active</t>
  </si>
  <si>
    <t>Danh mục role: Traveler, Restaurant Owner, Mod, Admin</t>
  </si>
  <si>
    <t>boolean</t>
  </si>
  <si>
    <t>Cấu hình đang dùng (chỉ 1 dòng true)</t>
  </si>
  <si>
    <t>false</t>
  </si>
  <si>
    <t>note</t>
  </si>
  <si>
    <t>text</t>
  </si>
  <si>
    <t>NULL</t>
  </si>
  <si>
    <t>Ghi chú</t>
  </si>
  <si>
    <t>code</t>
  </si>
  <si>
    <t>character varying(30)</t>
  </si>
  <si>
    <t>TRAVELER, RESTAURANT_OWNER, MOD, ADMIN</t>
  </si>
  <si>
    <t>UK</t>
  </si>
  <si>
    <t>created_at</t>
  </si>
  <si>
    <t>timestamp with time zone</t>
  </si>
  <si>
    <t>Thời điểm tạo</t>
  </si>
  <si>
    <t>now()</t>
  </si>
  <si>
    <t>survey_option_vectors  —  Quy lựa chọn khảo sát thành vector 12 chiều</t>
  </si>
  <si>
    <t>name</t>
  </si>
  <si>
    <t>character varying(100)</t>
  </si>
  <si>
    <t>Tên hiển thị của role</t>
  </si>
  <si>
    <t>survey_option_vectors</t>
  </si>
  <si>
    <t>option_code</t>
  </si>
  <si>
    <t>character varying(50)</t>
  </si>
  <si>
    <t>Mã lựa chọn khảo sát do app gửi lên (bộ câu hỏi cố định ở FE)</t>
  </si>
  <si>
    <t>users  —  Tài khoản người dùng (mỗi tài khoản 1 role)</t>
  </si>
  <si>
    <t>vec</t>
  </si>
  <si>
    <t>vector(12)</t>
  </si>
  <si>
    <t>Các chiều không liên quan để 0</t>
  </si>
  <si>
    <t>dim_mask</t>
  </si>
  <si>
    <t>1 ở chiều mà option này có ý kiến, 0 ở chiều còn lại</t>
  </si>
  <si>
    <t>users</t>
  </si>
  <si>
    <t>Tài khoản người dùng (mỗi tài khoản 1 role)</t>
  </si>
  <si>
    <t>updated_at</t>
  </si>
  <si>
    <t>Khóa chính người dùng; cũng là user_id bên recommendation</t>
  </si>
  <si>
    <t>permissions</t>
  </si>
  <si>
    <t>Danh mục quyền chi tiết</t>
  </si>
  <si>
    <t>Thời điểm cập nhật gần nhất</t>
  </si>
  <si>
    <t>email</t>
  </si>
  <si>
    <t>citext</t>
  </si>
  <si>
    <t>Email đăng nhập, không phân biệt hoa thường; duy nhất trong các tài khoản chưa xóa</t>
  </si>
  <si>
    <t>dish_vectors  —  Vector 12 chiều của món do AI sinh</t>
  </si>
  <si>
    <t>UK (deleted_at IS NULL)</t>
  </si>
  <si>
    <t>role_permissions</t>
  </si>
  <si>
    <t>Quyền mặc định của từng role</t>
  </si>
  <si>
    <t>role_id</t>
  </si>
  <si>
    <t>Role duy nhất của tài khoản (Traveler, Restaurant Owner, Mod, Admin)</t>
  </si>
  <si>
    <t>dish_vectors</t>
  </si>
  <si>
    <t>FK → roles</t>
  </si>
  <si>
    <t>dish_id</t>
  </si>
  <si>
    <t>Món (= core.dishes.id, tham chiếu mềm)</t>
  </si>
  <si>
    <t>user_permissions</t>
  </si>
  <si>
    <t>Ghi đè quyền cho từng user (Admin quản lý quyền của Mod)</t>
  </si>
  <si>
    <t>password_hash</t>
  </si>
  <si>
    <t>NULL nếu chỉ đăng nhập Google</t>
  </si>
  <si>
    <t>NULL khi chưa sinh được / failed</t>
  </si>
  <si>
    <t>user_external_logins</t>
  </si>
  <si>
    <t>Liên kết đăng nhập Google</t>
  </si>
  <si>
    <t>display_name</t>
  </si>
  <si>
    <t>raw_ai_output</t>
  </si>
  <si>
    <t>Tên hiển thị</t>
  </si>
  <si>
    <t>JSON gốc AI trả về</t>
  </si>
  <si>
    <t>avatar_media_id</t>
  </si>
  <si>
    <t>bigint</t>
  </si>
  <si>
    <t>user_tokens</t>
  </si>
  <si>
    <t>Token xác minh email và reset mật khẩu</t>
  </si>
  <si>
    <t>Ảnh đại diện (media_files, purpose = avatar); NULL = chưa có ảnh</t>
  </si>
  <si>
    <t>source_hash</t>
  </si>
  <si>
    <t>FK → media_files</t>
  </si>
  <si>
    <t>character(64)</t>
  </si>
  <si>
    <t>Sha256(name + description ...)</t>
  </si>
  <si>
    <t>phone</t>
  </si>
  <si>
    <t>character varying(20)</t>
  </si>
  <si>
    <t>Số điện thoại</t>
  </si>
  <si>
    <t>user_sessions</t>
  </si>
  <si>
    <t>Phiên đăng nhập / refresh token</t>
  </si>
  <si>
    <t>model_name</t>
  </si>
  <si>
    <t>bio</t>
  </si>
  <si>
    <t>Model AI sinh vector</t>
  </si>
  <si>
    <t>character varying(500)</t>
  </si>
  <si>
    <t>Giới thiệu ngắn</t>
  </si>
  <si>
    <t>ontology_version</t>
  </si>
  <si>
    <t>email_verified_at</t>
  </si>
  <si>
    <t>Phiên bản ontology (12 chiều = 1)</t>
  </si>
  <si>
    <t>media_files</t>
  </si>
  <si>
    <t>File upload dùng chung (ảnh, giấy tờ)</t>
  </si>
  <si>
    <t>1</t>
  </si>
  <si>
    <t>Thời điểm xác minh email; NULL = chưa xác minh</t>
  </si>
  <si>
    <t>status</t>
  </si>
  <si>
    <t>character varying(10)</t>
  </si>
  <si>
    <t>pending, ready, failed</t>
  </si>
  <si>
    <t>"pending"</t>
  </si>
  <si>
    <t>Trạng thái tài khoản: pending_verification, active, suspended, banned, deactivated</t>
  </si>
  <si>
    <t>"pending_verification"</t>
  </si>
  <si>
    <t>restaurants</t>
  </si>
  <si>
    <t>attempt_count</t>
  </si>
  <si>
    <t>Nhà hàng (mỗi Owner 1 nhà hàng)</t>
  </si>
  <si>
    <t>Số lần sinh vector đã thử</t>
  </si>
  <si>
    <t>suspended_until</t>
  </si>
  <si>
    <t>0</t>
  </si>
  <si>
    <t>Chỉ dùng khi status = 'suspended'</t>
  </si>
  <si>
    <t>last_error</t>
  </si>
  <si>
    <t>Lỗi lần sinh gần nhất</t>
  </si>
  <si>
    <t>last_login_at</t>
  </si>
  <si>
    <t>Lần đăng nhập gần nhất</t>
  </si>
  <si>
    <t>restaurant_images</t>
  </si>
  <si>
    <t>Ảnh của nhà hàng</t>
  </si>
  <si>
    <t>False khi backend xóa/ẩn món</t>
  </si>
  <si>
    <t>true</t>
  </si>
  <si>
    <t>character varying(200)</t>
  </si>
  <si>
    <t>Tên món đã nhận, dùng để sinh lại vector khi failed</t>
  </si>
  <si>
    <t>restaurant_business_hours</t>
  </si>
  <si>
    <t>Giờ mở cửa theo ngày, nhiều ca/ngày</t>
  </si>
  <si>
    <t>description</t>
  </si>
  <si>
    <t>Mô tả món đã nhận</t>
  </si>
  <si>
    <t>deleted_at</t>
  </si>
  <si>
    <t>Thời điểm xóa mềm; NULL = chưa xóa</t>
  </si>
  <si>
    <t>last_event_at</t>
  </si>
  <si>
    <t>Occurred_at của sự kiện mới nhất đã áp dụng; sự kiện cũ hơn (đến trễ) bị bỏ qua</t>
  </si>
  <si>
    <t>restaurant_verifications</t>
  </si>
  <si>
    <t>Các lần nộp xác minh nhà hàng</t>
  </si>
  <si>
    <t>permissions  —  Danh mục quyền chi tiết</t>
  </si>
  <si>
    <t>restaurant_verification_documents</t>
  </si>
  <si>
    <t>Giấy tờ đính kèm lần nộp xác minh</t>
  </si>
  <si>
    <t>Khóa chính quyền</t>
  </si>
  <si>
    <t>user_preference_vectors  —  Vector user và bộ đếm m, N_total</t>
  </si>
  <si>
    <t>character varying(60)</t>
  </si>
  <si>
    <t>Vd: USER_BAN, RESTAURANT_VERIFY, MENU_APPROVE, BLOG_MODERATE</t>
  </si>
  <si>
    <t>tags</t>
  </si>
  <si>
    <t>Tag phân loại để lọc ứng viên (bữa, dietary, nhóm món)</t>
  </si>
  <si>
    <t>user_preference_vectors</t>
  </si>
  <si>
    <t>user_id</t>
  </si>
  <si>
    <t>character varying(255)</t>
  </si>
  <si>
    <t>Mô tả quyền</t>
  </si>
  <si>
    <t>User (= core.users.id, tham chiếu mềm)</t>
  </si>
  <si>
    <t>role_permissions  —  Quyền mặc định của từng role</t>
  </si>
  <si>
    <t>initial_vec</t>
  </si>
  <si>
    <t>dishes</t>
  </si>
  <si>
    <t>Menu đang hoạt động: món đã duyệt, mỗi món thuộc 1 quán</t>
  </si>
  <si>
    <t>Từ khảo sát; NULL nếu chưa khảo sát</t>
  </si>
  <si>
    <t>Cập nhật online; NULL = chưa có (Explicit = 0). Không lưu vector 0.</t>
  </si>
  <si>
    <t>Role được cấp quyền</t>
  </si>
  <si>
    <t>PK (ghép), FK → roles</t>
  </si>
  <si>
    <t>dish_tags</t>
  </si>
  <si>
    <t>Tag của món</t>
  </si>
  <si>
    <t>survey_answer_count</t>
  </si>
  <si>
    <t>q = số câu trả lời khảo sát</t>
  </si>
  <si>
    <t>permission_id</t>
  </si>
  <si>
    <t>Quyền mặc định của role</t>
  </si>
  <si>
    <t>PK (ghép), FK → permissions</t>
  </si>
  <si>
    <t>feedback_count</t>
  </si>
  <si>
    <t>Số lần like/dislike</t>
  </si>
  <si>
    <t>dish_images</t>
  </si>
  <si>
    <t>Ảnh của món</t>
  </si>
  <si>
    <t>user_permissions  —  Ghi đè quyền cho từng user (Admin quản lý quyền của Mod)</t>
  </si>
  <si>
    <t>total_interactions</t>
  </si>
  <si>
    <t>m = q + số like/dislike (cột tính tự động)</t>
  </si>
  <si>
    <t>(cột tính toán)</t>
  </si>
  <si>
    <t>total_shown</t>
  </si>
  <si>
    <t>menu_submissions</t>
  </si>
  <si>
    <t>N_total = tổng số lần các món được hiển thị cho user</t>
  </si>
  <si>
    <t>Bản menu mới Owner soạn và nộp duyệt</t>
  </si>
  <si>
    <t>User (thường là Mod) được ghi đè quyền</t>
  </si>
  <si>
    <t>PK (ghép), FK → users</t>
  </si>
  <si>
    <t>survey_payload</t>
  </si>
  <si>
    <t>Câu trả lời thô nhận được</t>
  </si>
  <si>
    <t>Quyền bị ghi đè</t>
  </si>
  <si>
    <t>menu_submission_items</t>
  </si>
  <si>
    <t>Toàn bộ món của bản menu đề xuất</t>
  </si>
  <si>
    <t>survey_at</t>
  </si>
  <si>
    <t>Khác NULL =&gt; đã khảo sát; khảo sát chỉ nhận 1 lần (409 nếu gửi lại)</t>
  </si>
  <si>
    <t>effect</t>
  </si>
  <si>
    <t>character varying(5)</t>
  </si>
  <si>
    <t>allow = cấp thêm, deny = thu hồi so với quyền của role</t>
  </si>
  <si>
    <t>"allow"</t>
  </si>
  <si>
    <t>restaurant_reviews</t>
  </si>
  <si>
    <t>Review nhà hàng (1 lần/user/quán)</t>
  </si>
  <si>
    <t>granted_by</t>
  </si>
  <si>
    <t>Admin thực hiện</t>
  </si>
  <si>
    <t>FK → users</t>
  </si>
  <si>
    <t>user_dish_scores  —  Implicit S, n, N_i theo cặp user-món</t>
  </si>
  <si>
    <t>granted_at</t>
  </si>
  <si>
    <t>Thời điểm cấp/thu</t>
  </si>
  <si>
    <t>review_images</t>
  </si>
  <si>
    <t>user_dish_scores</t>
  </si>
  <si>
    <t>Ảnh đính kèm review</t>
  </si>
  <si>
    <t>User (= core.users.id)</t>
  </si>
  <si>
    <t>PK (ghép)</t>
  </si>
  <si>
    <t>user_external_logins  —  Liên kết đăng nhập Google</t>
  </si>
  <si>
    <t>Món (= core.dishes.id)</t>
  </si>
  <si>
    <t>review_replies</t>
  </si>
  <si>
    <t>Phản hồi của Owner cho review</t>
  </si>
  <si>
    <t>implicit_score</t>
  </si>
  <si>
    <t>real</t>
  </si>
  <si>
    <t>Khóa chính</t>
  </si>
  <si>
    <t>Implicit S của cặp user-món, mặc định 0,5</t>
  </si>
  <si>
    <t>0.5</t>
  </si>
  <si>
    <t>interaction_count</t>
  </si>
  <si>
    <t>n = số lần user like/dislike món này</t>
  </si>
  <si>
    <t>dish_feedbacks</t>
  </si>
  <si>
    <t>Tài khoản ANGI được liên kết</t>
  </si>
  <si>
    <t>Like/dislike món từ roadmap item (1 lần/item)</t>
  </si>
  <si>
    <t>UK (ghép), FK → users</t>
  </si>
  <si>
    <t>shown_count</t>
  </si>
  <si>
    <t>provider</t>
  </si>
  <si>
    <t>N_i = số lần món được hiển thị cho user</t>
  </si>
  <si>
    <t>Nhà cung cấp đăng nhập (hiện chỉ google)</t>
  </si>
  <si>
    <t>UK (ghép)</t>
  </si>
  <si>
    <t>last_feedback</t>
  </si>
  <si>
    <t>dish_rolls</t>
  </si>
  <si>
    <t>Lịch sử Roll Dish</t>
  </si>
  <si>
    <t>Phiếu hiện tại trong dish_stats</t>
  </si>
  <si>
    <t>provider_user_id</t>
  </si>
  <si>
    <t>Id người dùng phía Google (claim "sub")</t>
  </si>
  <si>
    <t>last_feedback_at</t>
  </si>
  <si>
    <t>Thời điểm phản hồi gần nhất</t>
  </si>
  <si>
    <t>linked_at</t>
  </si>
  <si>
    <t>Thời điểm liên kết</t>
  </si>
  <si>
    <t>roadmaps</t>
  </si>
  <si>
    <t>Roadmap ẩm thực cá nhân</t>
  </si>
  <si>
    <t>user_tokens  —  Token xác minh email và reset mật khẩu</t>
  </si>
  <si>
    <t>dish_stats  —  Like/dislike cộng đồng cho Wilson</t>
  </si>
  <si>
    <t>dish_stats</t>
  </si>
  <si>
    <t>roadmap_days</t>
  </si>
  <si>
    <t>Các ngày trong roadmap</t>
  </si>
  <si>
    <t>like_count</t>
  </si>
  <si>
    <t>Chủ token</t>
  </si>
  <si>
    <t>Số user đang like (mỗi user 1 phiếu theo phản hồi gần nhất)</t>
  </si>
  <si>
    <t>roadmap_items</t>
  </si>
  <si>
    <t>Món (kèm quán) trong từng ngày của roadmap</t>
  </si>
  <si>
    <t>dislike_count</t>
  </si>
  <si>
    <t>purpose</t>
  </si>
  <si>
    <t>Số user đang dislike</t>
  </si>
  <si>
    <t>Mục đích: email_verify hoặc password_reset</t>
  </si>
  <si>
    <t>token_hash</t>
  </si>
  <si>
    <t>Hash của token/mã gửi qua email (không lưu bản gốc)</t>
  </si>
  <si>
    <t>roadmap_generation_jobs</t>
  </si>
  <si>
    <t>Các lần gọi AI sinh roadmap</t>
  </si>
  <si>
    <t>interaction_events  —  Log like/dislike append-only (nguồn sự thật)</t>
  </si>
  <si>
    <t>expires_at</t>
  </si>
  <si>
    <t>Hết hạn</t>
  </si>
  <si>
    <t>interaction_events</t>
  </si>
  <si>
    <t>blogs</t>
  </si>
  <si>
    <t>Bài blog</t>
  </si>
  <si>
    <t>used_at</t>
  </si>
  <si>
    <t>Thời điểm đã dùng; NULL = chưa dùng (dùng 1 lần)</t>
  </si>
  <si>
    <t>event_uuid</t>
  </si>
  <si>
    <t>uuid</t>
  </si>
  <si>
    <t>blog_images</t>
  </si>
  <si>
    <t>Ảnh trong blog</t>
  </si>
  <si>
    <t>user_sessions  —  Phiên đăng nhập / refresh token</t>
  </si>
  <si>
    <t>blog_likes</t>
  </si>
  <si>
    <t>Like blog</t>
  </si>
  <si>
    <t>Khóa chính phiên</t>
  </si>
  <si>
    <t>Chủ phiên</t>
  </si>
  <si>
    <t>blog_comments</t>
  </si>
  <si>
    <t>Comment blog (1 cấp)</t>
  </si>
  <si>
    <t>refresh_token_hash</t>
  </si>
  <si>
    <t>Hash refresh token</t>
  </si>
  <si>
    <t>reports</t>
  </si>
  <si>
    <t>Báo cáo nhà hàng hoặc blog</t>
  </si>
  <si>
    <t>user_agent</t>
  </si>
  <si>
    <t>event_type</t>
  </si>
  <si>
    <t>Thiết bị/trình duyệt</t>
  </si>
  <si>
    <t>like hoặc dislike</t>
  </si>
  <si>
    <t>w</t>
  </si>
  <si>
    <t>ip_address</t>
  </si>
  <si>
    <t>inet</t>
  </si>
  <si>
    <t>+1 (like) hoặc -1 (dislike)</t>
  </si>
  <si>
    <t>IP đăng nhập</t>
  </si>
  <si>
    <t>user_sanctions</t>
  </si>
  <si>
    <t>Lịch sử cảnh cáo/tạm khóa/cấm user</t>
  </si>
  <si>
    <t>request_id</t>
  </si>
  <si>
    <t>Recommendation_logs.request_id nếu có</t>
  </si>
  <si>
    <t>Cấu hình thuật toán lúc xử lý</t>
  </si>
  <si>
    <t>FK → algorithm_configs</t>
  </si>
  <si>
    <t>Hết hạn phiên</t>
  </si>
  <si>
    <t>occurred_at</t>
  </si>
  <si>
    <t>Thời điểm user bấm (backend gửi)</t>
  </si>
  <si>
    <t>notifications</t>
  </si>
  <si>
    <t>revoked_at</t>
  </si>
  <si>
    <t>Thời điểm thu hồi (đăng xuất, đổi mật khẩu); NULL = còn hiệu lực</t>
  </si>
  <si>
    <t>Thông báo cho user</t>
  </si>
  <si>
    <t>received_at</t>
  </si>
  <si>
    <t>Thời điểm reco nhận</t>
  </si>
  <si>
    <t>media_files  —  File upload dùng chung (ảnh, giấy tờ)</t>
  </si>
  <si>
    <t>recommendation_logs  —  Mỗi lần gọi /recommendations</t>
  </si>
  <si>
    <t>audit_logs</t>
  </si>
  <si>
    <t>Nhật ký kiểm toán (append-only)</t>
  </si>
  <si>
    <t>recommendation_logs</t>
  </si>
  <si>
    <t>Khóa chính file</t>
  </si>
  <si>
    <t>Khóa chính lần gợi ý, trả về cho backend</t>
  </si>
  <si>
    <t>gen_random_uuid()</t>
  </si>
  <si>
    <t>outbox_messages</t>
  </si>
  <si>
    <t>uploader_id</t>
  </si>
  <si>
    <t>Transactional outbox đồng bộ core sang recommendation</t>
  </si>
  <si>
    <t>Người upload</t>
  </si>
  <si>
    <t>User được gợi ý</t>
  </si>
  <si>
    <t>Cấu hình thuật toán đã dùng</t>
  </si>
  <si>
    <t>storage_key</t>
  </si>
  <si>
    <t>recommendation</t>
  </si>
  <si>
    <t>Key trên S3/Cloudinary/...</t>
  </si>
  <si>
    <t>context</t>
  </si>
  <si>
    <t>Cấu hình thuật toán có phiên bản</t>
  </si>
  <si>
    <t>list, home, roll, roadmap_manual, roadmap_ai</t>
  </si>
  <si>
    <t>"list"</t>
  </si>
  <si>
    <t>m</t>
  </si>
  <si>
    <t>url</t>
  </si>
  <si>
    <t>m = tổng tương tác của user lúc gợi ý</t>
  </si>
  <si>
    <t>URL công khai của file</t>
  </si>
  <si>
    <t>n_total</t>
  </si>
  <si>
    <t>N_total lúc gợi ý</t>
  </si>
  <si>
    <t>Quy lựa chọn khảo sát thành vector 12 chiều</t>
  </si>
  <si>
    <t>mime_type</t>
  </si>
  <si>
    <t>delta</t>
  </si>
  <si>
    <t>Δ = m/(m+k')</t>
  </si>
  <si>
    <t>Kiểu file (image/jpeg, application/pdf...)</t>
  </si>
  <si>
    <t>candidate_count</t>
  </si>
  <si>
    <t>Vector 12 chiều của món do AI sinh</t>
  </si>
  <si>
    <t>Số món ứng viên backend gửi</t>
  </si>
  <si>
    <t>size_bytes</t>
  </si>
  <si>
    <t>top_k</t>
  </si>
  <si>
    <t>Dung lượng (byte)</t>
  </si>
  <si>
    <t>Số món trả về</t>
  </si>
  <si>
    <t>latency_ms</t>
  </si>
  <si>
    <t>Vector user và bộ đếm m, N_total</t>
  </si>
  <si>
    <t>Thời gian xử lý (ms)</t>
  </si>
  <si>
    <t>recommendation_items  —  Điểm từng tầng của từng món trong một lần gợi ý</t>
  </si>
  <si>
    <t>Implicit S, n, N_i theo cặp user-món</t>
  </si>
  <si>
    <t>restaurants  —  Nhà hàng (mỗi Owner 1 nhà hàng)</t>
  </si>
  <si>
    <t>Like/dislike cộng đồng cho Wilson</t>
  </si>
  <si>
    <t>Khóa chính nhà hàng</t>
  </si>
  <si>
    <t>Log like/dislike append-only (nguồn sự thật)</t>
  </si>
  <si>
    <t>owner_id</t>
  </si>
  <si>
    <t>Restaurant Owner quản lý (mỗi Owner tối đa 1 nhà hàng chưa xóa)</t>
  </si>
  <si>
    <t>UK (deleted_at IS NULL), FK → users</t>
  </si>
  <si>
    <t>Mỗi lần gọi /recommendations</t>
  </si>
  <si>
    <t>recommendation_items</t>
  </si>
  <si>
    <t>Lần gợi ý</t>
  </si>
  <si>
    <t>Tên nhà hàng</t>
  </si>
  <si>
    <t>PK (ghép), FK → recommendation_logs</t>
  </si>
  <si>
    <t>Điểm từng tầng của từng món trong một lần gợi ý</t>
  </si>
  <si>
    <t>Món ứng viên</t>
  </si>
  <si>
    <t>slug</t>
  </si>
  <si>
    <t>character varying(220)</t>
  </si>
  <si>
    <t>Slug dùng trên URL</t>
  </si>
  <si>
    <t>rank</t>
  </si>
  <si>
    <t>Thứ hạng trong toàn bộ tập ứng viên</t>
  </si>
  <si>
    <t>is_returned</t>
  </si>
  <si>
    <t>Nằm trong top_k trả về backend</t>
  </si>
  <si>
    <t>Tổng số trường</t>
  </si>
  <si>
    <t>Mô tả nhà hàng</t>
  </si>
  <si>
    <t>cosine_sim</t>
  </si>
  <si>
    <t>NULL nếu user chưa có vector</t>
  </si>
  <si>
    <t>explicit_score</t>
  </si>
  <si>
    <t>Explicit = MinMax của cosine trên tập ứng viên</t>
  </si>
  <si>
    <t>Số điện thoại liên hệ</t>
  </si>
  <si>
    <t>Số bảng core</t>
  </si>
  <si>
    <t>Implicit S tại thời điểm gợi ý</t>
  </si>
  <si>
    <t>alpha</t>
  </si>
  <si>
    <t>α = n/(n+k)</t>
  </si>
  <si>
    <t>Email liên hệ</t>
  </si>
  <si>
    <t>personalized</t>
  </si>
  <si>
    <t>(1−α)·Explicit + α·Implicit</t>
  </si>
  <si>
    <t>Số bảng recommendation</t>
  </si>
  <si>
    <t>wilson</t>
  </si>
  <si>
    <t>website</t>
  </si>
  <si>
    <t>Pooled Wilson Score</t>
  </si>
  <si>
    <t>Website/fanpage</t>
  </si>
  <si>
    <t>final_score</t>
  </si>
  <si>
    <t>Δ·Personalized + (1−Δ)·Wilson</t>
  </si>
  <si>
    <t>exploration</t>
  </si>
  <si>
    <t>Exploration Score (UCB, SoftSign)</t>
  </si>
  <si>
    <t>Thay đổi Ver1.1 (04/10/2026)</t>
  </si>
  <si>
    <t>address_line</t>
  </si>
  <si>
    <t>recommend_score</t>
  </si>
  <si>
    <t>(1−γ)·Final + γ·Exploration, dùng để xếp hạng</t>
  </si>
  <si>
    <t>shown_at</t>
  </si>
  <si>
    <t>Lần đầu món này hiển thị cho user (POST /impressions); NULL = chưa thấy</t>
  </si>
  <si>
    <t>Số nhà, tên đường</t>
  </si>
  <si>
    <t>ward</t>
  </si>
  <si>
    <t>Phường/xã</t>
  </si>
  <si>
    <t>district</t>
  </si>
  <si>
    <t>Quận/huyện</t>
  </si>
  <si>
    <t>province_name</t>
  </si>
  <si>
    <t>Tỉnh/thành</t>
  </si>
  <si>
    <t>latitude</t>
  </si>
  <si>
    <t>numeric(9,6)</t>
  </si>
  <si>
    <t>Vĩ độ</t>
  </si>
  <si>
    <t>longitude</t>
  </si>
  <si>
    <t>Kinh độ</t>
  </si>
  <si>
    <t>price_level</t>
  </si>
  <si>
    <t>Mức giá 1 đến 4 ($ đến $$$$)</t>
  </si>
  <si>
    <t>cover_media_id</t>
  </si>
  <si>
    <t>Ảnh bìa nhà hàng</t>
  </si>
  <si>
    <t>verification_status</t>
  </si>
  <si>
    <t>Trạng thái xác minh: unverified, pending, verified, rejected</t>
  </si>
  <si>
    <t>"unverified"</t>
  </si>
  <si>
    <t>operating_status</t>
  </si>
  <si>
    <t>Trạng thái hoạt động do Owner đặt: open, temporarily_closed, permanently_closed</t>
  </si>
  <si>
    <t>"open"</t>
  </si>
  <si>
    <t>moderation_status</t>
  </si>
  <si>
    <t>Trạng thái kiểm duyệt do Mod đặt: visible, hidden, suspended</t>
  </si>
  <si>
    <t>"visible"</t>
  </si>
  <si>
    <t>rating_avg</t>
  </si>
  <si>
    <t>numeric(3,2)</t>
  </si>
  <si>
    <t>Denormalized từ restaurant_reviews</t>
  </si>
  <si>
    <t>rating_count</t>
  </si>
  <si>
    <t>Số review đang hiển thị (denormalized)</t>
  </si>
  <si>
    <t>restaurant_images  —  Ảnh của nhà hàng</t>
  </si>
  <si>
    <t>restaurant_id</t>
  </si>
  <si>
    <t>Nhà hàng</t>
  </si>
  <si>
    <t>PK (ghép), FK → restaurants</t>
  </si>
  <si>
    <t>media_id</t>
  </si>
  <si>
    <t>Ảnh</t>
  </si>
  <si>
    <t>PK (ghép), FK → media_files</t>
  </si>
  <si>
    <t>sort_order</t>
  </si>
  <si>
    <t>Thứ tự hiển thị</t>
  </si>
  <si>
    <t>restaurant_business_hours  —  Giờ mở cửa theo ngày, nhiều ca/ngày</t>
  </si>
  <si>
    <t>UK (ghép), FK → restaurants</t>
  </si>
  <si>
    <t>day_of_week</t>
  </si>
  <si>
    <t>Thứ trong tuần: 0 = Chủ nhật ... 6 = Thứ bảy</t>
  </si>
  <si>
    <t>open_time</t>
  </si>
  <si>
    <t>time without time zone</t>
  </si>
  <si>
    <t>Giờ mở cửa của ca</t>
  </si>
  <si>
    <t>close_time</t>
  </si>
  <si>
    <t>Close_time &lt; open_time nghĩa là qua đêm</t>
  </si>
  <si>
    <t>restaurant_verifications  —  Các lần nộp xác minh nhà hàng</t>
  </si>
  <si>
    <t>Khóa chính lần nộp xác minh</t>
  </si>
  <si>
    <t>Nhà hàng xin xác minh</t>
  </si>
  <si>
    <t>FK → restaurants</t>
  </si>
  <si>
    <t>submitted_by</t>
  </si>
  <si>
    <t>Owner nộp</t>
  </si>
  <si>
    <t>previous_id</t>
  </si>
  <si>
    <t>Lần nộp trước đó (khi Resubmit)</t>
  </si>
  <si>
    <t>FK → restaurant_verifications</t>
  </si>
  <si>
    <t>legal_name</t>
  </si>
  <si>
    <t>Tên pháp lý/hộ kinh doanh</t>
  </si>
  <si>
    <t>business_license_no</t>
  </si>
  <si>
    <t>Số giấy phép kinh doanh</t>
  </si>
  <si>
    <t>tax_code</t>
  </si>
  <si>
    <t>Mã số thuế</t>
  </si>
  <si>
    <t>owner_note</t>
  </si>
  <si>
    <t>Ghi chú của Owner</t>
  </si>
  <si>
    <t>pending, approved, rejected, needs_more_info, cancelled</t>
  </si>
  <si>
    <t>reviewed_by</t>
  </si>
  <si>
    <t>Mod duyệt</t>
  </si>
  <si>
    <t>reviewed_at</t>
  </si>
  <si>
    <t>Thời điểm duyệt</t>
  </si>
  <si>
    <t>review_note</t>
  </si>
  <si>
    <t>Lý do từ chối / yêu cầu bổ sung</t>
  </si>
  <si>
    <t>submitted_at</t>
  </si>
  <si>
    <t>Thời điểm nộp</t>
  </si>
  <si>
    <t>restaurant_verification_documents  —  Giấy tờ đính kèm lần nộp xác minh</t>
  </si>
  <si>
    <t>verification_id</t>
  </si>
  <si>
    <t>Lần nộp xác minh</t>
  </si>
  <si>
    <t>doc_type</t>
  </si>
  <si>
    <t>Loại giấy tờ: business_license, food_safety_cert, id_card, storefront_photo, other</t>
  </si>
  <si>
    <t>File giấy tờ</t>
  </si>
  <si>
    <t>tags  —  Tag phân loại để lọc ứng viên (bữa, dietary, nhóm món)</t>
  </si>
  <si>
    <t>Khóa chính tag</t>
  </si>
  <si>
    <t>tag_type</t>
  </si>
  <si>
    <t>Nhóm tag: meal_time, dietary, category</t>
  </si>
  <si>
    <t>Mã tag (duy nhất trong nhóm)</t>
  </si>
  <si>
    <t>dishes  —  Menu đang hoạt động: món đã duyệt, mỗi món thuộc 1 quán</t>
  </si>
  <si>
    <t>Khóa chính món; cũng là dish_id bên recommendation</t>
  </si>
  <si>
    <t>Nhà hàng sở hữu món (1 quán = 1 menu)</t>
  </si>
  <si>
    <t>Tên món</t>
  </si>
  <si>
    <t>Reco dùng name + description để sinh vector</t>
  </si>
  <si>
    <t>dish_form</t>
  </si>
  <si>
    <t>Món nước / khô / khác: soup, dry, other (dùng để lọc)</t>
  </si>
  <si>
    <t>"other"</t>
  </si>
  <si>
    <t>Tổng số lượt Like (mỗi roadmap item 1 lượt, 1 người có thể like cùng món nhiều lần). Chỉ để hiển thị; Wilson dùng recommendation.dish_stats (1 phiếu/người)</t>
  </si>
  <si>
    <t>Tổng số lượt Dislike, đếm như like_count. Chỉ để hiển thị</t>
  </si>
  <si>
    <t>price</t>
  </si>
  <si>
    <t>numeric(12,0)</t>
  </si>
  <si>
    <t>Giá bán (VND)</t>
  </si>
  <si>
    <t>Ảnh đại diện món</t>
  </si>
  <si>
    <t>is_available</t>
  </si>
  <si>
    <t>Owner bật/tắt "hết món" (không cần duyệt)</t>
  </si>
  <si>
    <t>active = đang bán; hidden = Mod ẩn; removed = bị gỡ khi duyệt menu mới</t>
  </si>
  <si>
    <t>"active"</t>
  </si>
  <si>
    <t>Thứ tự trong menu</t>
  </si>
  <si>
    <t>dish_tags  —  Tag của món</t>
  </si>
  <si>
    <t>Món</t>
  </si>
  <si>
    <t>PK (ghép), FK → dishes</t>
  </si>
  <si>
    <t>tag_id</t>
  </si>
  <si>
    <t>Tag gắn cho món</t>
  </si>
  <si>
    <t>PK (ghép), FK → tags</t>
  </si>
  <si>
    <t>dish_images  —  Ảnh của món</t>
  </si>
  <si>
    <t>menu_submissions  —  Bản menu mới Owner soạn và nộp duyệt</t>
  </si>
  <si>
    <t>Khóa chính bản menu</t>
  </si>
  <si>
    <t>UK (status IN draft, pending), FK → restaurants</t>
  </si>
  <si>
    <t>created_by</t>
  </si>
  <si>
    <t>Owner tạo bản nháp</t>
  </si>
  <si>
    <t>draft, pending, approved, rejected, cancelled (mỗi quán tối đa 1 bản draft/pending)</t>
  </si>
  <si>
    <t>"draft"</t>
  </si>
  <si>
    <t>Ghi chú của Owner gửi Mod</t>
  </si>
  <si>
    <t>Thời điểm nộp duyệt</t>
  </si>
  <si>
    <t>Ghi chú/lý do từ chối của Mod</t>
  </si>
  <si>
    <t>menu_submission_items  —  Toàn bộ món của bản menu đề xuất</t>
  </si>
  <si>
    <t>submission_id</t>
  </si>
  <si>
    <t>Bản menu chứa dòng này</t>
  </si>
  <si>
    <t>UK (ghép), FK → menu_submissions</t>
  </si>
  <si>
    <t>source_dish_id</t>
  </si>
  <si>
    <t>Món đang bán được sửa/giữ; NULL = món mới</t>
  </si>
  <si>
    <t>UK (ghép), FK → dishes</t>
  </si>
  <si>
    <t>Tên món đề xuất</t>
  </si>
  <si>
    <t>Mô tả đề xuất</t>
  </si>
  <si>
    <t>Loại món đề xuất</t>
  </si>
  <si>
    <t>Giá đề xuất (VND)</t>
  </si>
  <si>
    <t>Ảnh đề xuất</t>
  </si>
  <si>
    <t>tag_ids</t>
  </si>
  <si>
    <t>smallint[]</t>
  </si>
  <si>
    <t>Danh sách tag đề xuất</t>
  </si>
  <si>
    <t>"{}"::smallint[]</t>
  </si>
  <si>
    <t>result_dish_id</t>
  </si>
  <si>
    <t>Dish_id sau khi duyệt (món mới hoặc = source_dish_id)</t>
  </si>
  <si>
    <t>FK → dishes</t>
  </si>
  <si>
    <t>restaurant_reviews  —  Review nhà hàng (1 lần/user/quán)</t>
  </si>
  <si>
    <t>Khóa chính review</t>
  </si>
  <si>
    <t>Nhà hàng được review</t>
  </si>
  <si>
    <t>Người review (mỗi người 1 review/quán)</t>
  </si>
  <si>
    <t>rating</t>
  </si>
  <si>
    <t>Số sao 1 đến 5</t>
  </si>
  <si>
    <t>content</t>
  </si>
  <si>
    <t>Nội dung review</t>
  </si>
  <si>
    <t>roadmap_item_id</t>
  </si>
  <si>
    <t>Roadmap item phát sinh review (nếu có)</t>
  </si>
  <si>
    <t>FK → roadmap_items</t>
  </si>
  <si>
    <t>visible, hidden, removed (Mod xử lý)</t>
  </si>
  <si>
    <t>review_images  —  Ảnh đính kèm review</t>
  </si>
  <si>
    <t>review_id</t>
  </si>
  <si>
    <t>Review</t>
  </si>
  <si>
    <t>PK (ghép), FK → restaurant_reviews</t>
  </si>
  <si>
    <t>Ảnh đính kèm</t>
  </si>
  <si>
    <t>review_replies  —  Phản hồi của Owner cho review</t>
  </si>
  <si>
    <t>Review được trả lời (1 phản hồi/review)</t>
  </si>
  <si>
    <t>PK, FK → restaurant_reviews</t>
  </si>
  <si>
    <t>replier_id</t>
  </si>
  <si>
    <t>Owner trả lời</t>
  </si>
  <si>
    <t>Nội dung phản hồi</t>
  </si>
  <si>
    <t>visible, hidden, removed</t>
  </si>
  <si>
    <t>dish_feedbacks  —  Like/dislike món từ roadmap item (1 lần/item)</t>
  </si>
  <si>
    <t>Khóa idempotent; trùng với event_uuid của outbox và interaction_events bên reco</t>
  </si>
  <si>
    <t>Người like/dislike</t>
  </si>
  <si>
    <t>Món được đánh giá</t>
  </si>
  <si>
    <t>value</t>
  </si>
  <si>
    <t>1 = like, -1 = dislike</t>
  </si>
  <si>
    <t>Luôn có khi tạo; thành NULL nếu item bị xóa sau đó</t>
  </si>
  <si>
    <t>UK, FK → roadmap_items</t>
  </si>
  <si>
    <t>reco_request_id</t>
  </si>
  <si>
    <t>Lấy từ roadmap_items.reco_request_id</t>
  </si>
  <si>
    <t>dish_rolls  —  Lịch sử Roll Dish</t>
  </si>
  <si>
    <t>Người roll</t>
  </si>
  <si>
    <t>Món được roll ra</t>
  </si>
  <si>
    <t>request_id của lần gợi ý dùng để roll</t>
  </si>
  <si>
    <t>rolled_at</t>
  </si>
  <si>
    <t>Thời điểm roll</t>
  </si>
  <si>
    <t>roadmaps  —  Roadmap ẩm thực cá nhân</t>
  </si>
  <si>
    <t>Khóa chính roadmap</t>
  </si>
  <si>
    <t>Người tạo (roadmap cá nhân)</t>
  </si>
  <si>
    <t>title</t>
  </si>
  <si>
    <t>Tên roadmap</t>
  </si>
  <si>
    <t>start_date</t>
  </si>
  <si>
    <t>date</t>
  </si>
  <si>
    <t>Ngày bắt đầu chuyến đi</t>
  </si>
  <si>
    <t>num_days</t>
  </si>
  <si>
    <t>Số ngày (1 đến 30)</t>
  </si>
  <si>
    <t>budget_amount</t>
  </si>
  <si>
    <t>numeric(14,0)</t>
  </si>
  <si>
    <t>VND, toàn chuyến của 1 người</t>
  </si>
  <si>
    <t>roadmap_days  —  Các ngày trong roadmap</t>
  </si>
  <si>
    <t>Khóa chính ngày</t>
  </si>
  <si>
    <t>roadmap_id</t>
  </si>
  <si>
    <t>Roadmap</t>
  </si>
  <si>
    <t>UK (ghép), FK → roadmaps</t>
  </si>
  <si>
    <t>day_number</t>
  </si>
  <si>
    <t>Ngày thứ mấy (từ 1)</t>
  </si>
  <si>
    <t>Ghi chú cho ngày</t>
  </si>
  <si>
    <t>roadmap_items  —  Món (kèm quán) trong từng ngày của roadmap</t>
  </si>
  <si>
    <t>Khóa chính item</t>
  </si>
  <si>
    <t>roadmap_day_id</t>
  </si>
  <si>
    <t>Ngày chứa item</t>
  </si>
  <si>
    <t>FK → roadmap_days</t>
  </si>
  <si>
    <t>Món; quán suy ra từ dishes.restaurant_id</t>
  </si>
  <si>
    <t>meal_slot</t>
  </si>
  <si>
    <t>breakfast, lunch, dinner, snack, late_night</t>
  </si>
  <si>
    <t>Thứ tự trong ngày</t>
  </si>
  <si>
    <t>source</t>
  </si>
  <si>
    <t>manual hoặc ai</t>
  </si>
  <si>
    <t>Lần gợi ý sinh ra item này</t>
  </si>
  <si>
    <t>roadmap_generation_jobs  —  Các lần gọi AI sinh roadmap</t>
  </si>
  <si>
    <t>Roadmap được sinh</t>
  </si>
  <si>
    <t>FK → roadmaps</t>
  </si>
  <si>
    <t>requested_by</t>
  </si>
  <si>
    <t>Người yêu cầu</t>
  </si>
  <si>
    <t>scope</t>
  </si>
  <si>
    <t>full = cả roadmap, day = 1 ngày, slot = 1 bữa</t>
  </si>
  <si>
    <t>"full"</t>
  </si>
  <si>
    <t>input</t>
  </si>
  <si>
    <t>Constraints + danh sách ứng viên đã gửi AI</t>
  </si>
  <si>
    <t>request_id của danh sách món gửi cho AI</t>
  </si>
  <si>
    <t>Model AI dùng</t>
  </si>
  <si>
    <t>prompt_version</t>
  </si>
  <si>
    <t>Phiên bản prompt</t>
  </si>
  <si>
    <t>raw_output</t>
  </si>
  <si>
    <t>Kết quả thô từ AI</t>
  </si>
  <si>
    <t>character varying(15)</t>
  </si>
  <si>
    <t>queued, running, succeeded, failed</t>
  </si>
  <si>
    <t>"queued"</t>
  </si>
  <si>
    <t>error_message</t>
  </si>
  <si>
    <t>Lỗi nếu thất bại</t>
  </si>
  <si>
    <t>finished_at</t>
  </si>
  <si>
    <t>Thời điểm kết thúc</t>
  </si>
  <si>
    <t>blogs  —  Bài blog</t>
  </si>
  <si>
    <t>Khóa chính blog</t>
  </si>
  <si>
    <t>author_id</t>
  </si>
  <si>
    <t>Tác giả</t>
  </si>
  <si>
    <t>Roadmap được chia sẻ (UC Share My Roadmap)</t>
  </si>
  <si>
    <t>roadmap_snapshot</t>
  </si>
  <si>
    <t>Bản chụp roadmap lúc share, để blog không đổi khi roadmap gốc bị sửa/xóa</t>
  </si>
  <si>
    <t>Tiêu đề</t>
  </si>
  <si>
    <t>character varying(280)</t>
  </si>
  <si>
    <t>Nội dung</t>
  </si>
  <si>
    <t>Ảnh bìa</t>
  </si>
  <si>
    <t>published, hidden, removed (đăng ngay, Mod ẩn/gỡ sau)</t>
  </si>
  <si>
    <t>"published"</t>
  </si>
  <si>
    <t>published_at</t>
  </si>
  <si>
    <t>Thời điểm đăng</t>
  </si>
  <si>
    <t>Số like (denormalized)</t>
  </si>
  <si>
    <t>comment_count</t>
  </si>
  <si>
    <t>Số comment (denormalized)</t>
  </si>
  <si>
    <t>view_count</t>
  </si>
  <si>
    <t>Số lượt xem</t>
  </si>
  <si>
    <t>blog_images  —  Ảnh trong blog</t>
  </si>
  <si>
    <t>blog_id</t>
  </si>
  <si>
    <t>Blog</t>
  </si>
  <si>
    <t>PK (ghép), FK → blogs</t>
  </si>
  <si>
    <t>blog_likes  —  Like blog</t>
  </si>
  <si>
    <t>Blog được like</t>
  </si>
  <si>
    <t>Người like (1 like/blog)</t>
  </si>
  <si>
    <t>blog_comments  —  Comment blog (1 cấp)</t>
  </si>
  <si>
    <t>Khóa chính comment</t>
  </si>
  <si>
    <t>FK → blogs</t>
  </si>
  <si>
    <t>Người comment</t>
  </si>
  <si>
    <t>Nội dung (1 cấp, không có reply)</t>
  </si>
  <si>
    <t>reports  —  Báo cáo nhà hàng hoặc blog</t>
  </si>
  <si>
    <t>Khóa chính report</t>
  </si>
  <si>
    <t>reporter_id</t>
  </si>
  <si>
    <t>Người báo cáo</t>
  </si>
  <si>
    <t>target_type</t>
  </si>
  <si>
    <t>restaurant hoặc blog</t>
  </si>
  <si>
    <t>Nhà hàng bị báo cáo (khi target_type = restaurant)</t>
  </si>
  <si>
    <t>Blog bị báo cáo (khi target_type = blog)</t>
  </si>
  <si>
    <t>reason_code</t>
  </si>
  <si>
    <t>wrong_info, closed, spam, offensive, hygiene, scam, other</t>
  </si>
  <si>
    <t>Mô tả chi tiết</t>
  </si>
  <si>
    <t>evidence</t>
  </si>
  <si>
    <t>Danh sách media_id làm bằng chứng</t>
  </si>
  <si>
    <t>"[]"</t>
  </si>
  <si>
    <t>pending, in_review, resolved, dismissed</t>
  </si>
  <si>
    <t>handled_by</t>
  </si>
  <si>
    <t>Mod xử lý</t>
  </si>
  <si>
    <t>handled_at</t>
  </si>
  <si>
    <t>Thời điểm xử lý</t>
  </si>
  <si>
    <t>resolution_action</t>
  </si>
  <si>
    <t>none, hide_blog, remove_blog, warn_user, suspend_user, ban_user, hide_restaurant, suspend_restaurant</t>
  </si>
  <si>
    <t>resolution_note</t>
  </si>
  <si>
    <t>Ghi chú xử lý</t>
  </si>
  <si>
    <t>user_sanctions  —  Lịch sử cảnh cáo/tạm khóa/cấm user</t>
  </si>
  <si>
    <t>User bị xử phạt</t>
  </si>
  <si>
    <t>type</t>
  </si>
  <si>
    <t>warn, suspend, ban</t>
  </si>
  <si>
    <t>reason</t>
  </si>
  <si>
    <t>Lý do</t>
  </si>
  <si>
    <t>report_id</t>
  </si>
  <si>
    <t>Report dẫn tới xử phạt (nếu có)</t>
  </si>
  <si>
    <t>FK → reports</t>
  </si>
  <si>
    <t>issued_by</t>
  </si>
  <si>
    <t>Mod xử phạt</t>
  </si>
  <si>
    <t>starts_at</t>
  </si>
  <si>
    <t>Bắt đầu hiệu lực</t>
  </si>
  <si>
    <t>ends_at</t>
  </si>
  <si>
    <t>Hết hiệu lực; NULL với ban vĩnh viễn</t>
  </si>
  <si>
    <t>lifted_by</t>
  </si>
  <si>
    <t>Mod gỡ xử phạt (UC Unban User)</t>
  </si>
  <si>
    <t>lifted_at</t>
  </si>
  <si>
    <t>Thời điểm gỡ (Unban)</t>
  </si>
  <si>
    <t>lift_reason</t>
  </si>
  <si>
    <t>Lý do gỡ</t>
  </si>
  <si>
    <t>notifications  —  Thông báo cho user</t>
  </si>
  <si>
    <t>recipient_id</t>
  </si>
  <si>
    <t>Người nhận</t>
  </si>
  <si>
    <t>character varying(40)</t>
  </si>
  <si>
    <t>Vd VERIFICATION_APPROVED, MENU_REJECTED, BLOG_COMMENTED, REVIEW_REPLIED, ROADMAP_GENERATED, REPORT_RESOLVED</t>
  </si>
  <si>
    <t>body</t>
  </si>
  <si>
    <t>data</t>
  </si>
  <si>
    <t>{"blog_id":..} để client điều hướng</t>
  </si>
  <si>
    <t>"{}"</t>
  </si>
  <si>
    <t>read_at</t>
  </si>
  <si>
    <t>Thời điểm đọc; NULL = chưa đọc</t>
  </si>
  <si>
    <t>audit_logs  —  Nhật ký kiểm toán (append-only)</t>
  </si>
  <si>
    <t>actor_id</t>
  </si>
  <si>
    <t>Người thực hiện; NULL = hệ thống</t>
  </si>
  <si>
    <t>actor_role</t>
  </si>
  <si>
    <t>Role của người thực hiện lúc đó</t>
  </si>
  <si>
    <t>action</t>
  </si>
  <si>
    <t>Vd USER_LOGIN, USER_BANNED, RESTAURANT_VERIFIED, BLOG_HIDDEN, PERMISSION_GRANTED</t>
  </si>
  <si>
    <t>entity_type</t>
  </si>
  <si>
    <t>Loại đối tượng bị tác động</t>
  </si>
  <si>
    <t>entity_id</t>
  </si>
  <si>
    <t>Id đối tượng bị tác động</t>
  </si>
  <si>
    <t>subject_user_id</t>
  </si>
  <si>
    <t>User bị tác động, để Mod lọc "audit của user X"</t>
  </si>
  <si>
    <t>old_values</t>
  </si>
  <si>
    <t>Giá trị trước thay đổi</t>
  </si>
  <si>
    <t>new_values</t>
  </si>
  <si>
    <t>Giá trị sau thay đổi</t>
  </si>
  <si>
    <t>IP thực hiện</t>
  </si>
  <si>
    <t>outbox_messages  —  Transactional outbox đồng bộ core sang recommendation</t>
  </si>
  <si>
    <t>Khóa chính, cũng là thứ tự xử lý</t>
  </si>
  <si>
    <t>Khóa idempotent gửi kèm sang reco</t>
  </si>
  <si>
    <t>DISH_UPSERTED, DISH_DEACTIVATED, FEEDBACK_CREATED</t>
  </si>
  <si>
    <t>aggregate_key</t>
  </si>
  <si>
    <t>Khóa thứ tự: dish:&lt;id&gt; (sự kiện món) hoặc user:&lt;id&gt; (feedback); cùng key xử lý tuần tự</t>
  </si>
  <si>
    <t>payload</t>
  </si>
  <si>
    <t>Dữ liệu gửi sang reco (JSON)</t>
  </si>
  <si>
    <t>character varying(12)</t>
  </si>
  <si>
    <t>pending, processing, done, dead</t>
  </si>
  <si>
    <t>Số lần đã thử gửi</t>
  </si>
  <si>
    <t>next_attempt_at</t>
  </si>
  <si>
    <t>Thời điểm được thử lại (backoff)</t>
  </si>
  <si>
    <t>locked_until</t>
  </si>
  <si>
    <t>Hết hạn mà chưa xong =&gt; worker khác được lấy lại</t>
  </si>
  <si>
    <t>Lỗi lần gửi gần nhất</t>
  </si>
  <si>
    <t>processed_at</t>
  </si>
  <si>
    <t>Thời điểm gửi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</si>
</sst>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</font>
    <font>
      <sz val="10.0"/>
      <color theme="1"/>
      <name val="Calibri"/>
    </font>
    <font>
      <b/>
      <color rgb="FFFFFFFF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Calibri"/>
    </font>
    <font>
      <sz val="10.0"/>
      <color rgb="FF0563C1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vertical="bottom"/>
    </xf>
    <xf borderId="0" fillId="0" fontId="6" numFmtId="0" xfId="0" applyFont="1"/>
    <xf borderId="0" fillId="0" fontId="6" numFmtId="0" xfId="0" applyAlignment="1" applyFont="1">
      <alignment vertical="bottom"/>
    </xf>
    <xf borderId="1" fillId="0" fontId="7" numFmtId="0" xfId="0" applyAlignment="1" applyBorder="1" applyFont="1">
      <alignment horizontal="right" shrinkToFit="0" vertical="top" wrapText="1"/>
    </xf>
    <xf borderId="1" fillId="0" fontId="7" numFmtId="0" xfId="0" applyAlignment="1" applyBorder="1" applyFont="1">
      <alignment shrinkToFit="0" vertical="top" wrapText="1"/>
    </xf>
    <xf borderId="2" fillId="3" fontId="8" numFmtId="0" xfId="0" applyBorder="1" applyFill="1" applyFont="1"/>
    <xf borderId="3" fillId="0" fontId="9" numFmtId="0" xfId="0" applyBorder="1" applyFont="1"/>
    <xf borderId="2" fillId="3" fontId="8" numFmtId="0" xfId="0" applyAlignment="1" applyBorder="1" applyFill="1" applyFont="1">
      <alignment horizontal="left"/>
    </xf>
    <xf borderId="4" fillId="0" fontId="9" numFmtId="0" xfId="0" applyBorder="1" applyFont="1"/>
    <xf borderId="0" fillId="0" fontId="10" numFmtId="0" xfId="0" applyAlignment="1" applyFont="1">
      <alignment horizontal="left"/>
    </xf>
    <xf borderId="1" fillId="0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11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1" fillId="4" fontId="7" numFmtId="0" xfId="0" applyAlignment="1" applyBorder="1" applyFill="1" applyFont="1">
      <alignment horizontal="center" shrinkToFit="0" vertical="top" wrapText="1"/>
    </xf>
    <xf borderId="0" fillId="0" fontId="12" numFmtId="0" xfId="0" applyAlignment="1" applyFont="1">
      <alignment vertical="bottom"/>
    </xf>
    <xf borderId="1" fillId="4" fontId="7" numFmtId="0" xfId="0" applyAlignment="1" applyBorder="1" applyFill="1" applyFont="1">
      <alignment shrinkToFit="0" vertical="top" wrapText="1"/>
    </xf>
    <xf borderId="0" fillId="0" fontId="3" numFmtId="0" xfId="0" applyAlignment="1" applyFont="1">
      <alignment vertical="bottom"/>
    </xf>
    <xf borderId="1" fillId="4" fontId="8" numFmtId="0" xfId="0" applyAlignment="1" applyBorder="1" applyFill="1" applyFont="1">
      <alignment shrinkToFit="0" vertical="top" wrapText="1"/>
    </xf>
    <xf borderId="0" fillId="0" fontId="3" numFmtId="0" xfId="0" applyAlignment="1" applyFont="1">
      <alignment vertical="top"/>
    </xf>
    <xf borderId="0" fillId="0" fontId="10" numFmtId="0" xfId="0" applyFont="1"/>
    <xf borderId="1" fillId="0" fontId="7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32.0"/>
    <col customWidth="1" min="4" max="4" width="70.0"/>
    <col customWidth="1" min="5" max="5" width="18.57"/>
    <col customWidth="1" min="6" max="6" width="8.71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8</v>
      </c>
      <c r="B4" s="6" t="s">
        <v>9</v>
      </c>
      <c r="C4" s="6" t="s">
        <v>1</v>
      </c>
      <c r="D4" s="6" t="s">
        <v>10</v>
      </c>
      <c r="E4" s="6" t="s">
        <v>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1.0</v>
      </c>
      <c r="B5" s="10" t="s">
        <v>13</v>
      </c>
      <c r="C5" s="18" t="s">
        <v>20</v>
      </c>
      <c r="D5" s="10" t="s">
        <v>29</v>
      </c>
      <c r="E5" s="9">
        <f>COUNTIF(Core!$A:$A,C5)</f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>
        <v>2.0</v>
      </c>
      <c r="B6" s="10" t="s">
        <v>13</v>
      </c>
      <c r="C6" s="18" t="s">
        <v>59</v>
      </c>
      <c r="D6" s="10" t="s">
        <v>60</v>
      </c>
      <c r="E6" s="9">
        <f>COUNTIF(Core!$A:$A,C6)</f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>
        <v>3.0</v>
      </c>
      <c r="B7" s="10" t="s">
        <v>13</v>
      </c>
      <c r="C7" s="18" t="s">
        <v>63</v>
      </c>
      <c r="D7" s="10" t="s">
        <v>64</v>
      </c>
      <c r="E7" s="9">
        <f>COUNTIF(Core!$A:$A,C7)</f>
        <v>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>
        <v>4.0</v>
      </c>
      <c r="B8" s="10" t="s">
        <v>13</v>
      </c>
      <c r="C8" s="18" t="s">
        <v>71</v>
      </c>
      <c r="D8" s="10" t="s">
        <v>72</v>
      </c>
      <c r="E8" s="9">
        <f>COUNTIF(Core!$A:$A,C8)</f>
        <v>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>
        <v>5.0</v>
      </c>
      <c r="B9" s="10" t="s">
        <v>13</v>
      </c>
      <c r="C9" s="18" t="s">
        <v>79</v>
      </c>
      <c r="D9" s="10" t="s">
        <v>80</v>
      </c>
      <c r="E9" s="9">
        <f>COUNTIF(Core!$A:$A,C9)</f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>
        <v>6.0</v>
      </c>
      <c r="B10" s="10" t="s">
        <v>13</v>
      </c>
      <c r="C10" s="18" t="s">
        <v>84</v>
      </c>
      <c r="D10" s="10" t="s">
        <v>85</v>
      </c>
      <c r="E10" s="9">
        <f>COUNTIF(Core!$A:$A,C10)</f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>
        <v>7.0</v>
      </c>
      <c r="B11" s="10" t="s">
        <v>13</v>
      </c>
      <c r="C11" s="18" t="s">
        <v>92</v>
      </c>
      <c r="D11" s="10" t="s">
        <v>93</v>
      </c>
      <c r="E11" s="9">
        <f>COUNTIF(Core!$A:$A,C11)</f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8.0</v>
      </c>
      <c r="B12" s="10" t="s">
        <v>13</v>
      </c>
      <c r="C12" s="18" t="s">
        <v>102</v>
      </c>
      <c r="D12" s="10" t="s">
        <v>103</v>
      </c>
      <c r="E12" s="9">
        <f>COUNTIF(Core!$A:$A,C12)</f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9.0</v>
      </c>
      <c r="B13" s="10" t="s">
        <v>13</v>
      </c>
      <c r="C13" s="18" t="s">
        <v>112</v>
      </c>
      <c r="D13" s="10" t="s">
        <v>113</v>
      </c>
      <c r="E13" s="9">
        <f>COUNTIF(Core!$A:$A,C13)</f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>
        <v>10.0</v>
      </c>
      <c r="B14" s="10" t="s">
        <v>13</v>
      </c>
      <c r="C14" s="18" t="s">
        <v>122</v>
      </c>
      <c r="D14" s="10" t="s">
        <v>124</v>
      </c>
      <c r="E14" s="9">
        <f>COUNTIF(Core!$A:$A,C14)</f>
        <v>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11.0</v>
      </c>
      <c r="B15" s="10" t="s">
        <v>13</v>
      </c>
      <c r="C15" s="18" t="s">
        <v>133</v>
      </c>
      <c r="D15" s="10" t="s">
        <v>134</v>
      </c>
      <c r="E15" s="9">
        <f>COUNTIF(Core!$A:$A,C15)</f>
        <v>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12.0</v>
      </c>
      <c r="B16" s="10" t="s">
        <v>13</v>
      </c>
      <c r="C16" s="18" t="s">
        <v>139</v>
      </c>
      <c r="D16" s="10" t="s">
        <v>140</v>
      </c>
      <c r="E16" s="9">
        <f>COUNTIF(Core!$A:$A,C16)</f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13.0</v>
      </c>
      <c r="B17" s="10" t="s">
        <v>13</v>
      </c>
      <c r="C17" s="18" t="s">
        <v>147</v>
      </c>
      <c r="D17" s="10" t="s">
        <v>148</v>
      </c>
      <c r="E17" s="9">
        <f>COUNTIF(Core!$A:$A,C17)</f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14.0</v>
      </c>
      <c r="B18" s="10" t="s">
        <v>13</v>
      </c>
      <c r="C18" s="18" t="s">
        <v>150</v>
      </c>
      <c r="D18" s="10" t="s">
        <v>151</v>
      </c>
      <c r="E18" s="9">
        <f>COUNTIF(Core!$A:$A,C18)</f>
        <v>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15.0</v>
      </c>
      <c r="B19" s="10" t="s">
        <v>13</v>
      </c>
      <c r="C19" s="18" t="s">
        <v>156</v>
      </c>
      <c r="D19" s="10" t="s">
        <v>157</v>
      </c>
      <c r="E19" s="9">
        <f>COUNTIF(Core!$A:$A,C19)</f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>
        <v>16.0</v>
      </c>
      <c r="B20" s="10" t="s">
        <v>13</v>
      </c>
      <c r="C20" s="18" t="s">
        <v>165</v>
      </c>
      <c r="D20" s="10" t="s">
        <v>166</v>
      </c>
      <c r="E20" s="9">
        <f>COUNTIF(Core!$A:$A,C20)</f>
        <v>14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>
        <v>17.0</v>
      </c>
      <c r="B21" s="10" t="s">
        <v>13</v>
      </c>
      <c r="C21" s="18" t="s">
        <v>171</v>
      </c>
      <c r="D21" s="10" t="s">
        <v>172</v>
      </c>
      <c r="E21" s="9">
        <f>COUNTIF(Core!$A:$A,C21)</f>
        <v>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>
        <v>18.0</v>
      </c>
      <c r="B22" s="10" t="s">
        <v>13</v>
      </c>
      <c r="C22" s="18" t="s">
        <v>180</v>
      </c>
      <c r="D22" s="10" t="s">
        <v>181</v>
      </c>
      <c r="E22" s="9">
        <f>COUNTIF(Core!$A:$A,C22)</f>
        <v>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>
        <v>19.0</v>
      </c>
      <c r="B23" s="10" t="s">
        <v>13</v>
      </c>
      <c r="C23" s="18" t="s">
        <v>187</v>
      </c>
      <c r="D23" s="10" t="s">
        <v>189</v>
      </c>
      <c r="E23" s="9">
        <f>COUNTIF(Core!$A:$A,C23)</f>
        <v>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>
        <v>20.0</v>
      </c>
      <c r="B24" s="10" t="s">
        <v>13</v>
      </c>
      <c r="C24" s="18" t="s">
        <v>195</v>
      </c>
      <c r="D24" s="10" t="s">
        <v>196</v>
      </c>
      <c r="E24" s="9">
        <f>COUNTIF(Core!$A:$A,C24)</f>
        <v>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>
        <v>21.0</v>
      </c>
      <c r="B25" s="10" t="s">
        <v>13</v>
      </c>
      <c r="C25" s="18" t="s">
        <v>203</v>
      </c>
      <c r="D25" s="10" t="s">
        <v>204</v>
      </c>
      <c r="E25" s="9">
        <f>COUNTIF(Core!$A:$A,C25)</f>
        <v>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>
        <v>22.0</v>
      </c>
      <c r="B26" s="10" t="s">
        <v>13</v>
      </c>
      <c r="C26" s="18" t="s">
        <v>211</v>
      </c>
      <c r="D26" s="10" t="s">
        <v>213</v>
      </c>
      <c r="E26" s="9">
        <f>COUNTIF(Core!$A:$A,C26)</f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9">
        <v>23.0</v>
      </c>
      <c r="B27" s="10" t="s">
        <v>13</v>
      </c>
      <c r="C27" s="18" t="s">
        <v>218</v>
      </c>
      <c r="D27" s="10" t="s">
        <v>219</v>
      </c>
      <c r="E27" s="9">
        <f>COUNTIF(Core!$A:$A,C27)</f>
        <v>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9">
        <v>24.0</v>
      </c>
      <c r="B28" s="10" t="s">
        <v>13</v>
      </c>
      <c r="C28" s="18" t="s">
        <v>227</v>
      </c>
      <c r="D28" s="10" t="s">
        <v>229</v>
      </c>
      <c r="E28" s="9">
        <f>COUNTIF(Core!$A:$A,C28)</f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>
        <v>25.0</v>
      </c>
      <c r="B29" s="10" t="s">
        <v>13</v>
      </c>
      <c r="C29" s="18" t="s">
        <v>237</v>
      </c>
      <c r="D29" s="10" t="s">
        <v>238</v>
      </c>
      <c r="E29" s="9">
        <f>COUNTIF(Core!$A:$A,C29)</f>
        <v>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9">
        <v>26.0</v>
      </c>
      <c r="B30" s="10" t="s">
        <v>13</v>
      </c>
      <c r="C30" s="18" t="s">
        <v>246</v>
      </c>
      <c r="D30" s="10" t="s">
        <v>247</v>
      </c>
      <c r="E30" s="9">
        <f>COUNTIF(Core!$A:$A,C30)</f>
        <v>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9">
        <v>27.0</v>
      </c>
      <c r="B31" s="10" t="s">
        <v>13</v>
      </c>
      <c r="C31" s="18" t="s">
        <v>251</v>
      </c>
      <c r="D31" s="10" t="s">
        <v>252</v>
      </c>
      <c r="E31" s="9">
        <f>COUNTIF(Core!$A:$A,C31)</f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>
        <v>28.0</v>
      </c>
      <c r="B32" s="10" t="s">
        <v>13</v>
      </c>
      <c r="C32" s="18" t="s">
        <v>256</v>
      </c>
      <c r="D32" s="10" t="s">
        <v>257</v>
      </c>
      <c r="E32" s="9">
        <f>COUNTIF(Core!$A:$A,C32)</f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>
        <v>29.0</v>
      </c>
      <c r="B33" s="10" t="s">
        <v>13</v>
      </c>
      <c r="C33" s="18" t="s">
        <v>264</v>
      </c>
      <c r="D33" s="10" t="s">
        <v>265</v>
      </c>
      <c r="E33" s="9">
        <f>COUNTIF(Core!$A:$A,C33)</f>
        <v>13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>
        <v>30.0</v>
      </c>
      <c r="B34" s="10" t="s">
        <v>13</v>
      </c>
      <c r="C34" s="18" t="s">
        <v>270</v>
      </c>
      <c r="D34" s="10" t="s">
        <v>271</v>
      </c>
      <c r="E34" s="9">
        <f>COUNTIF(Core!$A:$A,C34)</f>
        <v>16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>
        <v>31.0</v>
      </c>
      <c r="B35" s="10" t="s">
        <v>13</v>
      </c>
      <c r="C35" s="18" t="s">
        <v>276</v>
      </c>
      <c r="D35" s="10" t="s">
        <v>277</v>
      </c>
      <c r="E35" s="9">
        <f>COUNTIF(Core!$A:$A,C35)</f>
        <v>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>
        <v>32.0</v>
      </c>
      <c r="B36" s="10" t="s">
        <v>13</v>
      </c>
      <c r="C36" s="18" t="s">
        <v>279</v>
      </c>
      <c r="D36" s="10" t="s">
        <v>280</v>
      </c>
      <c r="E36" s="9">
        <f>COUNTIF(Core!$A:$A,C36)</f>
        <v>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>
        <v>33.0</v>
      </c>
      <c r="B37" s="10" t="s">
        <v>13</v>
      </c>
      <c r="C37" s="18" t="s">
        <v>283</v>
      </c>
      <c r="D37" s="10" t="s">
        <v>284</v>
      </c>
      <c r="E37" s="9">
        <f>COUNTIF(Core!$A:$A,C37)</f>
        <v>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9">
        <v>34.0</v>
      </c>
      <c r="B38" s="10" t="s">
        <v>13</v>
      </c>
      <c r="C38" s="18" t="s">
        <v>287</v>
      </c>
      <c r="D38" s="10" t="s">
        <v>288</v>
      </c>
      <c r="E38" s="9">
        <f>COUNTIF(Core!$A:$A,C38)</f>
        <v>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9">
        <v>35.0</v>
      </c>
      <c r="B39" s="10" t="s">
        <v>13</v>
      </c>
      <c r="C39" s="18" t="s">
        <v>298</v>
      </c>
      <c r="D39" s="10" t="s">
        <v>299</v>
      </c>
      <c r="E39" s="9">
        <f>COUNTIF(Core!$A:$A,C39)</f>
        <v>11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9">
        <v>36.0</v>
      </c>
      <c r="B40" s="10" t="s">
        <v>13</v>
      </c>
      <c r="C40" s="19" t="s">
        <v>307</v>
      </c>
      <c r="D40" s="10" t="s">
        <v>310</v>
      </c>
      <c r="E40" s="9">
        <f>COUNTIF(Core!$A:$A,C40)</f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9">
        <v>37.0</v>
      </c>
      <c r="B41" s="10" t="s">
        <v>13</v>
      </c>
      <c r="C41" s="18" t="s">
        <v>315</v>
      </c>
      <c r="D41" s="10" t="s">
        <v>316</v>
      </c>
      <c r="E41" s="9">
        <f>COUNTIF(Core!$A:$A,C41)</f>
        <v>12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9">
        <v>38.0</v>
      </c>
      <c r="B42" s="10" t="s">
        <v>13</v>
      </c>
      <c r="C42" s="18" t="s">
        <v>321</v>
      </c>
      <c r="D42" s="10" t="s">
        <v>323</v>
      </c>
      <c r="E42" s="9">
        <f>COUNTIF(Core!$A:$A,C42)</f>
        <v>12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9">
        <v>39.0</v>
      </c>
      <c r="B43" s="10" t="s">
        <v>328</v>
      </c>
      <c r="C43" s="18" t="s">
        <v>15</v>
      </c>
      <c r="D43" s="10" t="s">
        <v>331</v>
      </c>
      <c r="E43" s="9">
        <f>COUNTIF(Recommendation!$A:$A,C43)</f>
        <v>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9">
        <v>40.0</v>
      </c>
      <c r="B44" s="10" t="s">
        <v>328</v>
      </c>
      <c r="C44" s="18" t="s">
        <v>49</v>
      </c>
      <c r="D44" s="10" t="s">
        <v>340</v>
      </c>
      <c r="E44" s="9">
        <f>COUNTIF(Recommendation!$A:$A,C44)</f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">
        <v>41.0</v>
      </c>
      <c r="B45" s="10" t="s">
        <v>328</v>
      </c>
      <c r="C45" s="18" t="s">
        <v>75</v>
      </c>
      <c r="D45" s="10" t="s">
        <v>346</v>
      </c>
      <c r="E45" s="9">
        <f>COUNTIF(Recommendation!$A:$A,C45)</f>
        <v>15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>
        <v>42.0</v>
      </c>
      <c r="B46" s="10" t="s">
        <v>328</v>
      </c>
      <c r="C46" s="18" t="s">
        <v>158</v>
      </c>
      <c r="D46" s="10" t="s">
        <v>353</v>
      </c>
      <c r="E46" s="9">
        <f>COUNTIF(Recommendation!$A:$A,C46)</f>
        <v>10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>
        <v>43.0</v>
      </c>
      <c r="B47" s="10" t="s">
        <v>328</v>
      </c>
      <c r="C47" s="18" t="s">
        <v>212</v>
      </c>
      <c r="D47" s="10" t="s">
        <v>356</v>
      </c>
      <c r="E47" s="9">
        <f>COUNTIF(Recommendation!$A:$A,C47)</f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>
        <v>44.0</v>
      </c>
      <c r="B48" s="10" t="s">
        <v>328</v>
      </c>
      <c r="C48" s="18" t="s">
        <v>250</v>
      </c>
      <c r="D48" s="10" t="s">
        <v>358</v>
      </c>
      <c r="E48" s="9">
        <f>COUNTIF(Recommendation!$A:$A,C48)</f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>
        <v>45.0</v>
      </c>
      <c r="B49" s="10" t="s">
        <v>328</v>
      </c>
      <c r="C49" s="18" t="s">
        <v>269</v>
      </c>
      <c r="D49" s="10" t="s">
        <v>360</v>
      </c>
      <c r="E49" s="9">
        <f>COUNTIF(Recommendation!$A:$A,C49)</f>
        <v>10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">
        <v>46.0</v>
      </c>
      <c r="B50" s="10" t="s">
        <v>328</v>
      </c>
      <c r="C50" s="18" t="s">
        <v>317</v>
      </c>
      <c r="D50" s="10" t="s">
        <v>364</v>
      </c>
      <c r="E50" s="9">
        <f>COUNTIF(Recommendation!$A:$A,C50)</f>
        <v>11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">
        <v>47.0</v>
      </c>
      <c r="B51" s="10" t="s">
        <v>328</v>
      </c>
      <c r="C51" s="18" t="s">
        <v>365</v>
      </c>
      <c r="D51" s="10" t="s">
        <v>369</v>
      </c>
      <c r="E51" s="9">
        <f>COUNTIF(Recommendation!$A:$A,C51)</f>
        <v>14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0" t="s">
        <v>378</v>
      </c>
      <c r="D53" s="3"/>
      <c r="E53" s="21">
        <f>SUM(E5:E51)</f>
        <v>380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2" t="s">
        <v>385</v>
      </c>
      <c r="D54" s="3"/>
      <c r="E54" s="23">
        <f>COUNTIF(B5:B51,"core")</f>
        <v>38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2" t="s">
        <v>392</v>
      </c>
      <c r="D55" s="3"/>
      <c r="E55" s="23">
        <f>COUNTIF(B5:B51,"recommendation")</f>
        <v>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5" t="s">
        <v>401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7"/>
      <c r="B58" s="3"/>
      <c r="C58" s="2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7"/>
      <c r="B59" s="3"/>
      <c r="C59" s="2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7"/>
      <c r="B60" s="3"/>
      <c r="C60" s="2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7"/>
      <c r="B61" s="3"/>
      <c r="C61" s="2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7"/>
      <c r="B62" s="3"/>
      <c r="C62" s="2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7"/>
      <c r="B63" s="3"/>
      <c r="C63" s="2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C58:E58"/>
    <mergeCell ref="C59:E59"/>
    <mergeCell ref="C60:E60"/>
    <mergeCell ref="C61:E61"/>
    <mergeCell ref="C62:E62"/>
    <mergeCell ref="C63:E6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2.0"/>
    <col customWidth="1" min="4" max="4" width="13.0"/>
    <col customWidth="1" min="5" max="5" width="70.0"/>
    <col customWidth="1" min="6" max="6" width="26.0"/>
    <col customWidth="1" min="7" max="7" width="22.0"/>
    <col customWidth="1" min="8" max="26" width="8.71"/>
  </cols>
  <sheetData>
    <row r="1">
      <c r="A1" s="5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 t="s">
        <v>14</v>
      </c>
      <c r="B2" s="12"/>
      <c r="C2" s="12"/>
      <c r="D2" s="12"/>
      <c r="E2" s="12"/>
      <c r="F2" s="12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20</v>
      </c>
      <c r="B3" s="17" t="s">
        <v>22</v>
      </c>
      <c r="C3" s="10" t="s">
        <v>25</v>
      </c>
      <c r="D3" s="16" t="s">
        <v>18</v>
      </c>
      <c r="E3" s="10" t="s">
        <v>27</v>
      </c>
      <c r="F3" s="10" t="s">
        <v>21</v>
      </c>
      <c r="G3" s="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7" t="s">
        <v>20</v>
      </c>
      <c r="B4" s="17" t="s">
        <v>37</v>
      </c>
      <c r="C4" s="10" t="s">
        <v>38</v>
      </c>
      <c r="D4" s="16" t="s">
        <v>18</v>
      </c>
      <c r="E4" s="10" t="s">
        <v>39</v>
      </c>
      <c r="F4" s="10" t="s">
        <v>40</v>
      </c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 t="s">
        <v>20</v>
      </c>
      <c r="B5" s="17" t="s">
        <v>46</v>
      </c>
      <c r="C5" s="10" t="s">
        <v>47</v>
      </c>
      <c r="D5" s="16" t="s">
        <v>18</v>
      </c>
      <c r="E5" s="10" t="s">
        <v>48</v>
      </c>
      <c r="F5" s="10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 t="s">
        <v>53</v>
      </c>
      <c r="B6" s="12"/>
      <c r="C6" s="12"/>
      <c r="D6" s="12"/>
      <c r="E6" s="12"/>
      <c r="F6" s="12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59</v>
      </c>
      <c r="B7" s="17" t="s">
        <v>22</v>
      </c>
      <c r="C7" s="10" t="s">
        <v>17</v>
      </c>
      <c r="D7" s="16" t="s">
        <v>18</v>
      </c>
      <c r="E7" s="10" t="s">
        <v>62</v>
      </c>
      <c r="F7" s="10" t="s">
        <v>21</v>
      </c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7" t="s">
        <v>59</v>
      </c>
      <c r="B8" s="17" t="s">
        <v>66</v>
      </c>
      <c r="C8" s="10" t="s">
        <v>67</v>
      </c>
      <c r="D8" s="16" t="s">
        <v>18</v>
      </c>
      <c r="E8" s="10" t="s">
        <v>68</v>
      </c>
      <c r="F8" s="10" t="s">
        <v>70</v>
      </c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7" t="s">
        <v>59</v>
      </c>
      <c r="B9" s="17" t="s">
        <v>73</v>
      </c>
      <c r="C9" s="10" t="s">
        <v>25</v>
      </c>
      <c r="D9" s="16" t="s">
        <v>18</v>
      </c>
      <c r="E9" s="10" t="s">
        <v>74</v>
      </c>
      <c r="F9" s="10" t="s">
        <v>76</v>
      </c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 t="s">
        <v>59</v>
      </c>
      <c r="B10" s="17" t="s">
        <v>81</v>
      </c>
      <c r="C10" s="10" t="s">
        <v>34</v>
      </c>
      <c r="D10" s="10" t="s">
        <v>35</v>
      </c>
      <c r="E10" s="10" t="s">
        <v>82</v>
      </c>
      <c r="F10" s="10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 t="s">
        <v>59</v>
      </c>
      <c r="B11" s="17" t="s">
        <v>86</v>
      </c>
      <c r="C11" s="10" t="s">
        <v>47</v>
      </c>
      <c r="D11" s="16" t="s">
        <v>18</v>
      </c>
      <c r="E11" s="10" t="s">
        <v>88</v>
      </c>
      <c r="F11" s="10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 t="s">
        <v>59</v>
      </c>
      <c r="B12" s="17" t="s">
        <v>90</v>
      </c>
      <c r="C12" s="10" t="s">
        <v>91</v>
      </c>
      <c r="D12" s="10" t="s">
        <v>35</v>
      </c>
      <c r="E12" s="10" t="s">
        <v>94</v>
      </c>
      <c r="F12" s="10" t="s">
        <v>96</v>
      </c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 t="s">
        <v>59</v>
      </c>
      <c r="B13" s="17" t="s">
        <v>99</v>
      </c>
      <c r="C13" s="10" t="s">
        <v>100</v>
      </c>
      <c r="D13" s="10" t="s">
        <v>35</v>
      </c>
      <c r="E13" s="10" t="s">
        <v>101</v>
      </c>
      <c r="F13" s="10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7" t="s">
        <v>59</v>
      </c>
      <c r="B14" s="17" t="s">
        <v>105</v>
      </c>
      <c r="C14" s="10" t="s">
        <v>107</v>
      </c>
      <c r="D14" s="10" t="s">
        <v>35</v>
      </c>
      <c r="E14" s="10" t="s">
        <v>108</v>
      </c>
      <c r="F14" s="10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 t="s">
        <v>59</v>
      </c>
      <c r="B15" s="17" t="s">
        <v>110</v>
      </c>
      <c r="C15" s="10" t="s">
        <v>42</v>
      </c>
      <c r="D15" s="10" t="s">
        <v>35</v>
      </c>
      <c r="E15" s="10" t="s">
        <v>115</v>
      </c>
      <c r="F15" s="10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 t="s">
        <v>59</v>
      </c>
      <c r="B16" s="17" t="s">
        <v>116</v>
      </c>
      <c r="C16" s="10" t="s">
        <v>100</v>
      </c>
      <c r="D16" s="16" t="s">
        <v>18</v>
      </c>
      <c r="E16" s="10" t="s">
        <v>120</v>
      </c>
      <c r="F16" s="10"/>
      <c r="G16" s="10" t="s">
        <v>121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 t="s">
        <v>59</v>
      </c>
      <c r="B17" s="17" t="s">
        <v>126</v>
      </c>
      <c r="C17" s="10" t="s">
        <v>42</v>
      </c>
      <c r="D17" s="10" t="s">
        <v>35</v>
      </c>
      <c r="E17" s="10" t="s">
        <v>128</v>
      </c>
      <c r="F17" s="10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 t="s">
        <v>59</v>
      </c>
      <c r="B18" s="17" t="s">
        <v>131</v>
      </c>
      <c r="C18" s="10" t="s">
        <v>42</v>
      </c>
      <c r="D18" s="10" t="s">
        <v>35</v>
      </c>
      <c r="E18" s="10" t="s">
        <v>132</v>
      </c>
      <c r="F18" s="10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" t="s">
        <v>59</v>
      </c>
      <c r="B19" s="17" t="s">
        <v>41</v>
      </c>
      <c r="C19" s="10" t="s">
        <v>42</v>
      </c>
      <c r="D19" s="16" t="s">
        <v>18</v>
      </c>
      <c r="E19" s="10" t="s">
        <v>43</v>
      </c>
      <c r="F19" s="10"/>
      <c r="G19" s="10" t="s">
        <v>44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7" t="s">
        <v>59</v>
      </c>
      <c r="B20" s="17" t="s">
        <v>61</v>
      </c>
      <c r="C20" s="10" t="s">
        <v>42</v>
      </c>
      <c r="D20" s="16" t="s">
        <v>18</v>
      </c>
      <c r="E20" s="10" t="s">
        <v>65</v>
      </c>
      <c r="F20" s="10"/>
      <c r="G20" s="10" t="s">
        <v>44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7" t="s">
        <v>59</v>
      </c>
      <c r="B21" s="17" t="s">
        <v>143</v>
      </c>
      <c r="C21" s="10" t="s">
        <v>42</v>
      </c>
      <c r="D21" s="10" t="s">
        <v>35</v>
      </c>
      <c r="E21" s="10" t="s">
        <v>144</v>
      </c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3" t="s">
        <v>149</v>
      </c>
      <c r="B22" s="12"/>
      <c r="C22" s="12"/>
      <c r="D22" s="12"/>
      <c r="E22" s="12"/>
      <c r="F22" s="12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7" t="s">
        <v>63</v>
      </c>
      <c r="B23" s="17" t="s">
        <v>22</v>
      </c>
      <c r="C23" s="10" t="s">
        <v>25</v>
      </c>
      <c r="D23" s="16" t="s">
        <v>18</v>
      </c>
      <c r="E23" s="10" t="s">
        <v>152</v>
      </c>
      <c r="F23" s="10" t="s">
        <v>21</v>
      </c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7" t="s">
        <v>63</v>
      </c>
      <c r="B24" s="17" t="s">
        <v>37</v>
      </c>
      <c r="C24" s="10" t="s">
        <v>154</v>
      </c>
      <c r="D24" s="16" t="s">
        <v>18</v>
      </c>
      <c r="E24" s="10" t="s">
        <v>155</v>
      </c>
      <c r="F24" s="10" t="s">
        <v>40</v>
      </c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7" t="s">
        <v>63</v>
      </c>
      <c r="B25" s="17" t="s">
        <v>141</v>
      </c>
      <c r="C25" s="10" t="s">
        <v>160</v>
      </c>
      <c r="D25" s="10" t="s">
        <v>35</v>
      </c>
      <c r="E25" s="10" t="s">
        <v>161</v>
      </c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3" t="s">
        <v>163</v>
      </c>
      <c r="B26" s="12"/>
      <c r="C26" s="12"/>
      <c r="D26" s="12"/>
      <c r="E26" s="12"/>
      <c r="F26" s="12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7" t="s">
        <v>71</v>
      </c>
      <c r="B27" s="17" t="s">
        <v>73</v>
      </c>
      <c r="C27" s="10" t="s">
        <v>25</v>
      </c>
      <c r="D27" s="16" t="s">
        <v>18</v>
      </c>
      <c r="E27" s="10" t="s">
        <v>169</v>
      </c>
      <c r="F27" s="10" t="s">
        <v>170</v>
      </c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7" t="s">
        <v>71</v>
      </c>
      <c r="B28" s="17" t="s">
        <v>175</v>
      </c>
      <c r="C28" s="10" t="s">
        <v>25</v>
      </c>
      <c r="D28" s="16" t="s">
        <v>18</v>
      </c>
      <c r="E28" s="10" t="s">
        <v>176</v>
      </c>
      <c r="F28" s="10" t="s">
        <v>177</v>
      </c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3" t="s">
        <v>182</v>
      </c>
      <c r="B29" s="12"/>
      <c r="C29" s="12"/>
      <c r="D29" s="12"/>
      <c r="E29" s="12"/>
      <c r="F29" s="12"/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7" t="s">
        <v>79</v>
      </c>
      <c r="B30" s="17" t="s">
        <v>159</v>
      </c>
      <c r="C30" s="10" t="s">
        <v>17</v>
      </c>
      <c r="D30" s="16" t="s">
        <v>18</v>
      </c>
      <c r="E30" s="10" t="s">
        <v>190</v>
      </c>
      <c r="F30" s="10" t="s">
        <v>191</v>
      </c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7" t="s">
        <v>79</v>
      </c>
      <c r="B31" s="17" t="s">
        <v>175</v>
      </c>
      <c r="C31" s="10" t="s">
        <v>25</v>
      </c>
      <c r="D31" s="16" t="s">
        <v>18</v>
      </c>
      <c r="E31" s="10" t="s">
        <v>194</v>
      </c>
      <c r="F31" s="10" t="s">
        <v>177</v>
      </c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7" t="s">
        <v>79</v>
      </c>
      <c r="B32" s="17" t="s">
        <v>199</v>
      </c>
      <c r="C32" s="10" t="s">
        <v>200</v>
      </c>
      <c r="D32" s="16" t="s">
        <v>18</v>
      </c>
      <c r="E32" s="10" t="s">
        <v>201</v>
      </c>
      <c r="F32" s="10"/>
      <c r="G32" s="10" t="s">
        <v>202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7" t="s">
        <v>79</v>
      </c>
      <c r="B33" s="17" t="s">
        <v>205</v>
      </c>
      <c r="C33" s="10" t="s">
        <v>17</v>
      </c>
      <c r="D33" s="10" t="s">
        <v>35</v>
      </c>
      <c r="E33" s="10" t="s">
        <v>206</v>
      </c>
      <c r="F33" s="10" t="s">
        <v>207</v>
      </c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7" t="s">
        <v>79</v>
      </c>
      <c r="B34" s="17" t="s">
        <v>209</v>
      </c>
      <c r="C34" s="10" t="s">
        <v>42</v>
      </c>
      <c r="D34" s="16" t="s">
        <v>18</v>
      </c>
      <c r="E34" s="10" t="s">
        <v>210</v>
      </c>
      <c r="F34" s="10"/>
      <c r="G34" s="10" t="s">
        <v>44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3" t="s">
        <v>216</v>
      </c>
      <c r="B35" s="12"/>
      <c r="C35" s="12"/>
      <c r="D35" s="12"/>
      <c r="E35" s="12"/>
      <c r="F35" s="12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7" t="s">
        <v>84</v>
      </c>
      <c r="B36" s="17" t="s">
        <v>22</v>
      </c>
      <c r="C36" s="10" t="s">
        <v>91</v>
      </c>
      <c r="D36" s="16" t="s">
        <v>18</v>
      </c>
      <c r="E36" s="10" t="s">
        <v>222</v>
      </c>
      <c r="F36" s="10" t="s">
        <v>21</v>
      </c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7" t="s">
        <v>84</v>
      </c>
      <c r="B37" s="17" t="s">
        <v>159</v>
      </c>
      <c r="C37" s="10" t="s">
        <v>17</v>
      </c>
      <c r="D37" s="16" t="s">
        <v>18</v>
      </c>
      <c r="E37" s="10" t="s">
        <v>228</v>
      </c>
      <c r="F37" s="10" t="s">
        <v>230</v>
      </c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7" t="s">
        <v>84</v>
      </c>
      <c r="B38" s="17" t="s">
        <v>232</v>
      </c>
      <c r="C38" s="10" t="s">
        <v>100</v>
      </c>
      <c r="D38" s="16" t="s">
        <v>18</v>
      </c>
      <c r="E38" s="10" t="s">
        <v>234</v>
      </c>
      <c r="F38" s="10" t="s">
        <v>235</v>
      </c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7" t="s">
        <v>84</v>
      </c>
      <c r="B39" s="17" t="s">
        <v>240</v>
      </c>
      <c r="C39" s="10" t="s">
        <v>160</v>
      </c>
      <c r="D39" s="16" t="s">
        <v>18</v>
      </c>
      <c r="E39" s="10" t="s">
        <v>241</v>
      </c>
      <c r="F39" s="10" t="s">
        <v>235</v>
      </c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7" t="s">
        <v>84</v>
      </c>
      <c r="B40" s="17" t="s">
        <v>244</v>
      </c>
      <c r="C40" s="10" t="s">
        <v>42</v>
      </c>
      <c r="D40" s="16" t="s">
        <v>18</v>
      </c>
      <c r="E40" s="10" t="s">
        <v>245</v>
      </c>
      <c r="F40" s="10"/>
      <c r="G40" s="10" t="s">
        <v>44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3" t="s">
        <v>248</v>
      </c>
      <c r="B41" s="12"/>
      <c r="C41" s="12"/>
      <c r="D41" s="12"/>
      <c r="E41" s="12"/>
      <c r="F41" s="12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7" t="s">
        <v>92</v>
      </c>
      <c r="B42" s="17" t="s">
        <v>22</v>
      </c>
      <c r="C42" s="10" t="s">
        <v>91</v>
      </c>
      <c r="D42" s="16" t="s">
        <v>18</v>
      </c>
      <c r="E42" s="10" t="s">
        <v>222</v>
      </c>
      <c r="F42" s="10" t="s">
        <v>21</v>
      </c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7" t="s">
        <v>92</v>
      </c>
      <c r="B43" s="17" t="s">
        <v>159</v>
      </c>
      <c r="C43" s="10" t="s">
        <v>17</v>
      </c>
      <c r="D43" s="16" t="s">
        <v>18</v>
      </c>
      <c r="E43" s="10" t="s">
        <v>254</v>
      </c>
      <c r="F43" s="10" t="s">
        <v>207</v>
      </c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7" t="s">
        <v>92</v>
      </c>
      <c r="B44" s="17" t="s">
        <v>259</v>
      </c>
      <c r="C44" s="10" t="s">
        <v>100</v>
      </c>
      <c r="D44" s="16" t="s">
        <v>18</v>
      </c>
      <c r="E44" s="10" t="s">
        <v>261</v>
      </c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7" t="s">
        <v>92</v>
      </c>
      <c r="B45" s="17" t="s">
        <v>262</v>
      </c>
      <c r="C45" s="10" t="s">
        <v>34</v>
      </c>
      <c r="D45" s="16" t="s">
        <v>18</v>
      </c>
      <c r="E45" s="10" t="s">
        <v>263</v>
      </c>
      <c r="F45" s="10" t="s">
        <v>40</v>
      </c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7" t="s">
        <v>92</v>
      </c>
      <c r="B46" s="17" t="s">
        <v>267</v>
      </c>
      <c r="C46" s="10" t="s">
        <v>42</v>
      </c>
      <c r="D46" s="16" t="s">
        <v>18</v>
      </c>
      <c r="E46" s="10" t="s">
        <v>268</v>
      </c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7" t="s">
        <v>92</v>
      </c>
      <c r="B47" s="17" t="s">
        <v>272</v>
      </c>
      <c r="C47" s="10" t="s">
        <v>42</v>
      </c>
      <c r="D47" s="10" t="s">
        <v>35</v>
      </c>
      <c r="E47" s="10" t="s">
        <v>273</v>
      </c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7" t="s">
        <v>92</v>
      </c>
      <c r="B48" s="17" t="s">
        <v>41</v>
      </c>
      <c r="C48" s="10" t="s">
        <v>42</v>
      </c>
      <c r="D48" s="16" t="s">
        <v>18</v>
      </c>
      <c r="E48" s="10" t="s">
        <v>43</v>
      </c>
      <c r="F48" s="10"/>
      <c r="G48" s="10" t="s">
        <v>44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3" t="s">
        <v>278</v>
      </c>
      <c r="B49" s="12"/>
      <c r="C49" s="12"/>
      <c r="D49" s="12"/>
      <c r="E49" s="12"/>
      <c r="F49" s="12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7" t="s">
        <v>102</v>
      </c>
      <c r="B50" s="17" t="s">
        <v>22</v>
      </c>
      <c r="C50" s="10" t="s">
        <v>91</v>
      </c>
      <c r="D50" s="16" t="s">
        <v>18</v>
      </c>
      <c r="E50" s="10" t="s">
        <v>281</v>
      </c>
      <c r="F50" s="10" t="s">
        <v>21</v>
      </c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7" t="s">
        <v>102</v>
      </c>
      <c r="B51" s="17" t="s">
        <v>159</v>
      </c>
      <c r="C51" s="10" t="s">
        <v>17</v>
      </c>
      <c r="D51" s="16" t="s">
        <v>18</v>
      </c>
      <c r="E51" s="10" t="s">
        <v>282</v>
      </c>
      <c r="F51" s="10" t="s">
        <v>207</v>
      </c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7" t="s">
        <v>102</v>
      </c>
      <c r="B52" s="17" t="s">
        <v>285</v>
      </c>
      <c r="C52" s="10" t="s">
        <v>34</v>
      </c>
      <c r="D52" s="16" t="s">
        <v>18</v>
      </c>
      <c r="E52" s="10" t="s">
        <v>286</v>
      </c>
      <c r="F52" s="10" t="s">
        <v>40</v>
      </c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7" t="s">
        <v>102</v>
      </c>
      <c r="B53" s="17" t="s">
        <v>289</v>
      </c>
      <c r="C53" s="10" t="s">
        <v>107</v>
      </c>
      <c r="D53" s="10" t="s">
        <v>35</v>
      </c>
      <c r="E53" s="10" t="s">
        <v>291</v>
      </c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7" t="s">
        <v>102</v>
      </c>
      <c r="B54" s="17" t="s">
        <v>294</v>
      </c>
      <c r="C54" s="10" t="s">
        <v>295</v>
      </c>
      <c r="D54" s="10" t="s">
        <v>35</v>
      </c>
      <c r="E54" s="10" t="s">
        <v>297</v>
      </c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7" t="s">
        <v>102</v>
      </c>
      <c r="B55" s="17" t="s">
        <v>41</v>
      </c>
      <c r="C55" s="10" t="s">
        <v>42</v>
      </c>
      <c r="D55" s="16" t="s">
        <v>18</v>
      </c>
      <c r="E55" s="10" t="s">
        <v>43</v>
      </c>
      <c r="F55" s="10"/>
      <c r="G55" s="10" t="s">
        <v>44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7" t="s">
        <v>102</v>
      </c>
      <c r="B56" s="17" t="s">
        <v>267</v>
      </c>
      <c r="C56" s="10" t="s">
        <v>42</v>
      </c>
      <c r="D56" s="16" t="s">
        <v>18</v>
      </c>
      <c r="E56" s="10" t="s">
        <v>304</v>
      </c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7" t="s">
        <v>102</v>
      </c>
      <c r="B57" s="17" t="s">
        <v>308</v>
      </c>
      <c r="C57" s="10" t="s">
        <v>42</v>
      </c>
      <c r="D57" s="10" t="s">
        <v>35</v>
      </c>
      <c r="E57" s="10" t="s">
        <v>309</v>
      </c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3" t="s">
        <v>313</v>
      </c>
      <c r="B58" s="12"/>
      <c r="C58" s="12"/>
      <c r="D58" s="12"/>
      <c r="E58" s="12"/>
      <c r="F58" s="12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7" t="s">
        <v>112</v>
      </c>
      <c r="B59" s="17" t="s">
        <v>22</v>
      </c>
      <c r="C59" s="10" t="s">
        <v>91</v>
      </c>
      <c r="D59" s="16" t="s">
        <v>18</v>
      </c>
      <c r="E59" s="10" t="s">
        <v>318</v>
      </c>
      <c r="F59" s="10" t="s">
        <v>21</v>
      </c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7" t="s">
        <v>112</v>
      </c>
      <c r="B60" s="17" t="s">
        <v>322</v>
      </c>
      <c r="C60" s="10" t="s">
        <v>17</v>
      </c>
      <c r="D60" s="10" t="s">
        <v>35</v>
      </c>
      <c r="E60" s="10" t="s">
        <v>324</v>
      </c>
      <c r="F60" s="10" t="s">
        <v>207</v>
      </c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7" t="s">
        <v>112</v>
      </c>
      <c r="B61" s="17" t="s">
        <v>327</v>
      </c>
      <c r="C61" s="10" t="s">
        <v>34</v>
      </c>
      <c r="D61" s="16" t="s">
        <v>18</v>
      </c>
      <c r="E61" s="10" t="s">
        <v>329</v>
      </c>
      <c r="F61" s="10" t="s">
        <v>40</v>
      </c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7" t="s">
        <v>112</v>
      </c>
      <c r="B62" s="17" t="s">
        <v>335</v>
      </c>
      <c r="C62" s="10" t="s">
        <v>34</v>
      </c>
      <c r="D62" s="16" t="s">
        <v>18</v>
      </c>
      <c r="E62" s="10" t="s">
        <v>337</v>
      </c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7" t="s">
        <v>112</v>
      </c>
      <c r="B63" s="17" t="s">
        <v>341</v>
      </c>
      <c r="C63" s="10" t="s">
        <v>47</v>
      </c>
      <c r="D63" s="16" t="s">
        <v>18</v>
      </c>
      <c r="E63" s="10" t="s">
        <v>344</v>
      </c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7" t="s">
        <v>112</v>
      </c>
      <c r="B64" s="17" t="s">
        <v>348</v>
      </c>
      <c r="C64" s="10" t="s">
        <v>91</v>
      </c>
      <c r="D64" s="10" t="s">
        <v>35</v>
      </c>
      <c r="E64" s="10" t="s">
        <v>350</v>
      </c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7" t="s">
        <v>112</v>
      </c>
      <c r="B65" s="17" t="s">
        <v>41</v>
      </c>
      <c r="C65" s="10" t="s">
        <v>42</v>
      </c>
      <c r="D65" s="16" t="s">
        <v>18</v>
      </c>
      <c r="E65" s="10" t="s">
        <v>43</v>
      </c>
      <c r="F65" s="10"/>
      <c r="G65" s="10" t="s">
        <v>44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3" t="s">
        <v>357</v>
      </c>
      <c r="B66" s="12"/>
      <c r="C66" s="12"/>
      <c r="D66" s="12"/>
      <c r="E66" s="12"/>
      <c r="F66" s="12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7" t="s">
        <v>122</v>
      </c>
      <c r="B67" s="17" t="s">
        <v>22</v>
      </c>
      <c r="C67" s="10" t="s">
        <v>91</v>
      </c>
      <c r="D67" s="16" t="s">
        <v>18</v>
      </c>
      <c r="E67" s="10" t="s">
        <v>359</v>
      </c>
      <c r="F67" s="10" t="s">
        <v>21</v>
      </c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7" t="s">
        <v>122</v>
      </c>
      <c r="B68" s="17" t="s">
        <v>361</v>
      </c>
      <c r="C68" s="10" t="s">
        <v>17</v>
      </c>
      <c r="D68" s="16" t="s">
        <v>18</v>
      </c>
      <c r="E68" s="10" t="s">
        <v>362</v>
      </c>
      <c r="F68" s="10" t="s">
        <v>363</v>
      </c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7" t="s">
        <v>122</v>
      </c>
      <c r="B69" s="17" t="s">
        <v>46</v>
      </c>
      <c r="C69" s="10" t="s">
        <v>137</v>
      </c>
      <c r="D69" s="16" t="s">
        <v>18</v>
      </c>
      <c r="E69" s="10" t="s">
        <v>367</v>
      </c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7" t="s">
        <v>122</v>
      </c>
      <c r="B70" s="17" t="s">
        <v>371</v>
      </c>
      <c r="C70" s="10" t="s">
        <v>372</v>
      </c>
      <c r="D70" s="16" t="s">
        <v>18</v>
      </c>
      <c r="E70" s="10" t="s">
        <v>373</v>
      </c>
      <c r="F70" s="10" t="s">
        <v>70</v>
      </c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7" t="s">
        <v>122</v>
      </c>
      <c r="B71" s="17" t="s">
        <v>141</v>
      </c>
      <c r="C71" s="10" t="s">
        <v>34</v>
      </c>
      <c r="D71" s="10" t="s">
        <v>35</v>
      </c>
      <c r="E71" s="10" t="s">
        <v>379</v>
      </c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7" t="s">
        <v>122</v>
      </c>
      <c r="B72" s="17" t="s">
        <v>99</v>
      </c>
      <c r="C72" s="10" t="s">
        <v>100</v>
      </c>
      <c r="D72" s="10" t="s">
        <v>35</v>
      </c>
      <c r="E72" s="10" t="s">
        <v>384</v>
      </c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7" t="s">
        <v>122</v>
      </c>
      <c r="B73" s="17" t="s">
        <v>66</v>
      </c>
      <c r="C73" s="10" t="s">
        <v>67</v>
      </c>
      <c r="D73" s="10" t="s">
        <v>35</v>
      </c>
      <c r="E73" s="10" t="s">
        <v>389</v>
      </c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7" t="s">
        <v>122</v>
      </c>
      <c r="B74" s="17" t="s">
        <v>394</v>
      </c>
      <c r="C74" s="10" t="s">
        <v>34</v>
      </c>
      <c r="D74" s="10" t="s">
        <v>35</v>
      </c>
      <c r="E74" s="10" t="s">
        <v>396</v>
      </c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4" t="s">
        <v>122</v>
      </c>
      <c r="B75" s="24" t="s">
        <v>402</v>
      </c>
      <c r="C75" s="26" t="s">
        <v>160</v>
      </c>
      <c r="D75" s="28" t="s">
        <v>18</v>
      </c>
      <c r="E75" s="26" t="s">
        <v>407</v>
      </c>
      <c r="F75" s="26"/>
      <c r="G75" s="2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4" t="s">
        <v>122</v>
      </c>
      <c r="B76" s="24" t="s">
        <v>408</v>
      </c>
      <c r="C76" s="26" t="s">
        <v>47</v>
      </c>
      <c r="D76" s="26" t="s">
        <v>35</v>
      </c>
      <c r="E76" s="26" t="s">
        <v>409</v>
      </c>
      <c r="F76" s="26"/>
      <c r="G76" s="2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4" t="s">
        <v>122</v>
      </c>
      <c r="B77" s="24" t="s">
        <v>410</v>
      </c>
      <c r="C77" s="26" t="s">
        <v>47</v>
      </c>
      <c r="D77" s="26" t="s">
        <v>35</v>
      </c>
      <c r="E77" s="26" t="s">
        <v>411</v>
      </c>
      <c r="F77" s="26"/>
      <c r="G77" s="2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4" t="s">
        <v>122</v>
      </c>
      <c r="B78" s="24" t="s">
        <v>412</v>
      </c>
      <c r="C78" s="26" t="s">
        <v>47</v>
      </c>
      <c r="D78" s="26" t="s">
        <v>35</v>
      </c>
      <c r="E78" s="26" t="s">
        <v>413</v>
      </c>
      <c r="F78" s="26"/>
      <c r="G78" s="2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4" t="s">
        <v>122</v>
      </c>
      <c r="B79" s="24" t="s">
        <v>414</v>
      </c>
      <c r="C79" s="26" t="s">
        <v>415</v>
      </c>
      <c r="D79" s="26" t="s">
        <v>35</v>
      </c>
      <c r="E79" s="26" t="s">
        <v>416</v>
      </c>
      <c r="F79" s="26"/>
      <c r="G79" s="2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4" t="s">
        <v>122</v>
      </c>
      <c r="B80" s="24" t="s">
        <v>417</v>
      </c>
      <c r="C80" s="26" t="s">
        <v>415</v>
      </c>
      <c r="D80" s="26" t="s">
        <v>35</v>
      </c>
      <c r="E80" s="26" t="s">
        <v>418</v>
      </c>
      <c r="F80" s="26"/>
      <c r="G80" s="2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7" t="s">
        <v>122</v>
      </c>
      <c r="B81" s="17" t="s">
        <v>419</v>
      </c>
      <c r="C81" s="10" t="s">
        <v>25</v>
      </c>
      <c r="D81" s="10" t="s">
        <v>35</v>
      </c>
      <c r="E81" s="10" t="s">
        <v>420</v>
      </c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7" t="s">
        <v>122</v>
      </c>
      <c r="B82" s="17" t="s">
        <v>421</v>
      </c>
      <c r="C82" s="10" t="s">
        <v>91</v>
      </c>
      <c r="D82" s="10" t="s">
        <v>35</v>
      </c>
      <c r="E82" s="10" t="s">
        <v>422</v>
      </c>
      <c r="F82" s="10" t="s">
        <v>96</v>
      </c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7" t="s">
        <v>122</v>
      </c>
      <c r="B83" s="17" t="s">
        <v>423</v>
      </c>
      <c r="C83" s="10" t="s">
        <v>100</v>
      </c>
      <c r="D83" s="16" t="s">
        <v>18</v>
      </c>
      <c r="E83" s="10" t="s">
        <v>424</v>
      </c>
      <c r="F83" s="10"/>
      <c r="G83" s="10" t="s">
        <v>425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7" t="s">
        <v>122</v>
      </c>
      <c r="B84" s="17" t="s">
        <v>426</v>
      </c>
      <c r="C84" s="10" t="s">
        <v>100</v>
      </c>
      <c r="D84" s="16" t="s">
        <v>18</v>
      </c>
      <c r="E84" s="10" t="s">
        <v>427</v>
      </c>
      <c r="F84" s="10"/>
      <c r="G84" s="10" t="s">
        <v>428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7" t="s">
        <v>122</v>
      </c>
      <c r="B85" s="17" t="s">
        <v>429</v>
      </c>
      <c r="C85" s="10" t="s">
        <v>100</v>
      </c>
      <c r="D85" s="16" t="s">
        <v>18</v>
      </c>
      <c r="E85" s="10" t="s">
        <v>430</v>
      </c>
      <c r="F85" s="10"/>
      <c r="G85" s="10" t="s">
        <v>431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7" t="s">
        <v>122</v>
      </c>
      <c r="B86" s="17" t="s">
        <v>432</v>
      </c>
      <c r="C86" s="10" t="s">
        <v>433</v>
      </c>
      <c r="D86" s="16" t="s">
        <v>18</v>
      </c>
      <c r="E86" s="10" t="s">
        <v>434</v>
      </c>
      <c r="F86" s="10"/>
      <c r="G86" s="10" t="s">
        <v>127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7" t="s">
        <v>122</v>
      </c>
      <c r="B87" s="17" t="s">
        <v>435</v>
      </c>
      <c r="C87" s="10" t="s">
        <v>17</v>
      </c>
      <c r="D87" s="16" t="s">
        <v>18</v>
      </c>
      <c r="E87" s="10" t="s">
        <v>436</v>
      </c>
      <c r="F87" s="10"/>
      <c r="G87" s="10" t="s">
        <v>127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7" t="s">
        <v>122</v>
      </c>
      <c r="B88" s="17" t="s">
        <v>41</v>
      </c>
      <c r="C88" s="10" t="s">
        <v>42</v>
      </c>
      <c r="D88" s="16" t="s">
        <v>18</v>
      </c>
      <c r="E88" s="10" t="s">
        <v>43</v>
      </c>
      <c r="F88" s="10"/>
      <c r="G88" s="10" t="s">
        <v>44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7" t="s">
        <v>122</v>
      </c>
      <c r="B89" s="17" t="s">
        <v>61</v>
      </c>
      <c r="C89" s="10" t="s">
        <v>42</v>
      </c>
      <c r="D89" s="16" t="s">
        <v>18</v>
      </c>
      <c r="E89" s="10" t="s">
        <v>65</v>
      </c>
      <c r="F89" s="10"/>
      <c r="G89" s="10" t="s">
        <v>44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7" t="s">
        <v>122</v>
      </c>
      <c r="B90" s="17" t="s">
        <v>143</v>
      </c>
      <c r="C90" s="10" t="s">
        <v>42</v>
      </c>
      <c r="D90" s="10" t="s">
        <v>35</v>
      </c>
      <c r="E90" s="10" t="s">
        <v>144</v>
      </c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3" t="s">
        <v>437</v>
      </c>
      <c r="B91" s="12"/>
      <c r="C91" s="12"/>
      <c r="D91" s="12"/>
      <c r="E91" s="12"/>
      <c r="F91" s="12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7" t="s">
        <v>133</v>
      </c>
      <c r="B92" s="17" t="s">
        <v>438</v>
      </c>
      <c r="C92" s="10" t="s">
        <v>91</v>
      </c>
      <c r="D92" s="16" t="s">
        <v>18</v>
      </c>
      <c r="E92" s="10" t="s">
        <v>439</v>
      </c>
      <c r="F92" s="10" t="s">
        <v>440</v>
      </c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7" t="s">
        <v>133</v>
      </c>
      <c r="B93" s="17" t="s">
        <v>441</v>
      </c>
      <c r="C93" s="10" t="s">
        <v>91</v>
      </c>
      <c r="D93" s="16" t="s">
        <v>18</v>
      </c>
      <c r="E93" s="10" t="s">
        <v>442</v>
      </c>
      <c r="F93" s="10" t="s">
        <v>443</v>
      </c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7" t="s">
        <v>133</v>
      </c>
      <c r="B94" s="17" t="s">
        <v>444</v>
      </c>
      <c r="C94" s="10" t="s">
        <v>25</v>
      </c>
      <c r="D94" s="16" t="s">
        <v>18</v>
      </c>
      <c r="E94" s="10" t="s">
        <v>445</v>
      </c>
      <c r="F94" s="10"/>
      <c r="G94" s="10" t="s">
        <v>127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3" t="s">
        <v>446</v>
      </c>
      <c r="B95" s="12"/>
      <c r="C95" s="12"/>
      <c r="D95" s="12"/>
      <c r="E95" s="12"/>
      <c r="F95" s="12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7" t="s">
        <v>139</v>
      </c>
      <c r="B96" s="17" t="s">
        <v>22</v>
      </c>
      <c r="C96" s="10" t="s">
        <v>91</v>
      </c>
      <c r="D96" s="16" t="s">
        <v>18</v>
      </c>
      <c r="E96" s="10" t="s">
        <v>222</v>
      </c>
      <c r="F96" s="10" t="s">
        <v>21</v>
      </c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7" t="s">
        <v>139</v>
      </c>
      <c r="B97" s="17" t="s">
        <v>438</v>
      </c>
      <c r="C97" s="10" t="s">
        <v>91</v>
      </c>
      <c r="D97" s="16" t="s">
        <v>18</v>
      </c>
      <c r="E97" s="10" t="s">
        <v>439</v>
      </c>
      <c r="F97" s="10" t="s">
        <v>447</v>
      </c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 t="s">
        <v>139</v>
      </c>
      <c r="B98" s="17" t="s">
        <v>448</v>
      </c>
      <c r="C98" s="10" t="s">
        <v>25</v>
      </c>
      <c r="D98" s="16" t="s">
        <v>18</v>
      </c>
      <c r="E98" s="10" t="s">
        <v>449</v>
      </c>
      <c r="F98" s="10" t="s">
        <v>235</v>
      </c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7" t="s">
        <v>139</v>
      </c>
      <c r="B99" s="17" t="s">
        <v>450</v>
      </c>
      <c r="C99" s="10" t="s">
        <v>451</v>
      </c>
      <c r="D99" s="16" t="s">
        <v>18</v>
      </c>
      <c r="E99" s="10" t="s">
        <v>452</v>
      </c>
      <c r="F99" s="10" t="s">
        <v>235</v>
      </c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7" t="s">
        <v>139</v>
      </c>
      <c r="B100" s="17" t="s">
        <v>453</v>
      </c>
      <c r="C100" s="10" t="s">
        <v>451</v>
      </c>
      <c r="D100" s="16" t="s">
        <v>18</v>
      </c>
      <c r="E100" s="10" t="s">
        <v>454</v>
      </c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3" t="s">
        <v>455</v>
      </c>
      <c r="B101" s="12"/>
      <c r="C101" s="12"/>
      <c r="D101" s="12"/>
      <c r="E101" s="12"/>
      <c r="F101" s="12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7" t="s">
        <v>147</v>
      </c>
      <c r="B102" s="17" t="s">
        <v>22</v>
      </c>
      <c r="C102" s="10" t="s">
        <v>91</v>
      </c>
      <c r="D102" s="16" t="s">
        <v>18</v>
      </c>
      <c r="E102" s="10" t="s">
        <v>456</v>
      </c>
      <c r="F102" s="10" t="s">
        <v>21</v>
      </c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7" t="s">
        <v>147</v>
      </c>
      <c r="B103" s="17" t="s">
        <v>438</v>
      </c>
      <c r="C103" s="10" t="s">
        <v>91</v>
      </c>
      <c r="D103" s="16" t="s">
        <v>18</v>
      </c>
      <c r="E103" s="10" t="s">
        <v>457</v>
      </c>
      <c r="F103" s="10" t="s">
        <v>458</v>
      </c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7" t="s">
        <v>147</v>
      </c>
      <c r="B104" s="17" t="s">
        <v>459</v>
      </c>
      <c r="C104" s="10" t="s">
        <v>17</v>
      </c>
      <c r="D104" s="16" t="s">
        <v>18</v>
      </c>
      <c r="E104" s="10" t="s">
        <v>460</v>
      </c>
      <c r="F104" s="10" t="s">
        <v>207</v>
      </c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7" t="s">
        <v>147</v>
      </c>
      <c r="B105" s="17" t="s">
        <v>461</v>
      </c>
      <c r="C105" s="10" t="s">
        <v>91</v>
      </c>
      <c r="D105" s="10" t="s">
        <v>35</v>
      </c>
      <c r="E105" s="10" t="s">
        <v>462</v>
      </c>
      <c r="F105" s="10" t="s">
        <v>463</v>
      </c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7" t="s">
        <v>147</v>
      </c>
      <c r="B106" s="17" t="s">
        <v>464</v>
      </c>
      <c r="C106" s="10" t="s">
        <v>160</v>
      </c>
      <c r="D106" s="10" t="s">
        <v>35</v>
      </c>
      <c r="E106" s="10" t="s">
        <v>465</v>
      </c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7" t="s">
        <v>147</v>
      </c>
      <c r="B107" s="17" t="s">
        <v>466</v>
      </c>
      <c r="C107" s="10" t="s">
        <v>51</v>
      </c>
      <c r="D107" s="10" t="s">
        <v>35</v>
      </c>
      <c r="E107" s="10" t="s">
        <v>467</v>
      </c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7" t="s">
        <v>147</v>
      </c>
      <c r="B108" s="17" t="s">
        <v>468</v>
      </c>
      <c r="C108" s="10" t="s">
        <v>100</v>
      </c>
      <c r="D108" s="10" t="s">
        <v>35</v>
      </c>
      <c r="E108" s="10" t="s">
        <v>469</v>
      </c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7" t="s">
        <v>147</v>
      </c>
      <c r="B109" s="17" t="s">
        <v>470</v>
      </c>
      <c r="C109" s="10" t="s">
        <v>34</v>
      </c>
      <c r="D109" s="10" t="s">
        <v>35</v>
      </c>
      <c r="E109" s="10" t="s">
        <v>471</v>
      </c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7" t="s">
        <v>147</v>
      </c>
      <c r="B110" s="17" t="s">
        <v>116</v>
      </c>
      <c r="C110" s="10" t="s">
        <v>100</v>
      </c>
      <c r="D110" s="16" t="s">
        <v>18</v>
      </c>
      <c r="E110" s="10" t="s">
        <v>472</v>
      </c>
      <c r="F110" s="10"/>
      <c r="G110" s="10" t="s">
        <v>119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7" t="s">
        <v>147</v>
      </c>
      <c r="B111" s="17" t="s">
        <v>473</v>
      </c>
      <c r="C111" s="10" t="s">
        <v>17</v>
      </c>
      <c r="D111" s="10" t="s">
        <v>35</v>
      </c>
      <c r="E111" s="10" t="s">
        <v>474</v>
      </c>
      <c r="F111" s="10" t="s">
        <v>207</v>
      </c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7" t="s">
        <v>147</v>
      </c>
      <c r="B112" s="17" t="s">
        <v>475</v>
      </c>
      <c r="C112" s="10" t="s">
        <v>42</v>
      </c>
      <c r="D112" s="10" t="s">
        <v>35</v>
      </c>
      <c r="E112" s="10" t="s">
        <v>476</v>
      </c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7" t="s">
        <v>147</v>
      </c>
      <c r="B113" s="17" t="s">
        <v>477</v>
      </c>
      <c r="C113" s="10" t="s">
        <v>34</v>
      </c>
      <c r="D113" s="10" t="s">
        <v>35</v>
      </c>
      <c r="E113" s="10" t="s">
        <v>478</v>
      </c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7" t="s">
        <v>147</v>
      </c>
      <c r="B114" s="17" t="s">
        <v>479</v>
      </c>
      <c r="C114" s="10" t="s">
        <v>42</v>
      </c>
      <c r="D114" s="16" t="s">
        <v>18</v>
      </c>
      <c r="E114" s="10" t="s">
        <v>480</v>
      </c>
      <c r="F114" s="10"/>
      <c r="G114" s="10" t="s">
        <v>44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3" t="s">
        <v>481</v>
      </c>
      <c r="B115" s="12"/>
      <c r="C115" s="12"/>
      <c r="D115" s="12"/>
      <c r="E115" s="12"/>
      <c r="F115" s="12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7" t="s">
        <v>150</v>
      </c>
      <c r="B116" s="17" t="s">
        <v>22</v>
      </c>
      <c r="C116" s="10" t="s">
        <v>91</v>
      </c>
      <c r="D116" s="16" t="s">
        <v>18</v>
      </c>
      <c r="E116" s="10" t="s">
        <v>222</v>
      </c>
      <c r="F116" s="10" t="s">
        <v>21</v>
      </c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7" t="s">
        <v>150</v>
      </c>
      <c r="B117" s="17" t="s">
        <v>482</v>
      </c>
      <c r="C117" s="10" t="s">
        <v>91</v>
      </c>
      <c r="D117" s="16" t="s">
        <v>18</v>
      </c>
      <c r="E117" s="10" t="s">
        <v>483</v>
      </c>
      <c r="F117" s="10" t="s">
        <v>463</v>
      </c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7" t="s">
        <v>150</v>
      </c>
      <c r="B118" s="17" t="s">
        <v>484</v>
      </c>
      <c r="C118" s="10" t="s">
        <v>38</v>
      </c>
      <c r="D118" s="16" t="s">
        <v>18</v>
      </c>
      <c r="E118" s="10" t="s">
        <v>485</v>
      </c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7" t="s">
        <v>150</v>
      </c>
      <c r="B119" s="17" t="s">
        <v>441</v>
      </c>
      <c r="C119" s="10" t="s">
        <v>91</v>
      </c>
      <c r="D119" s="16" t="s">
        <v>18</v>
      </c>
      <c r="E119" s="10" t="s">
        <v>486</v>
      </c>
      <c r="F119" s="10" t="s">
        <v>96</v>
      </c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3" t="s">
        <v>487</v>
      </c>
      <c r="B120" s="12"/>
      <c r="C120" s="12"/>
      <c r="D120" s="12"/>
      <c r="E120" s="12"/>
      <c r="F120" s="12"/>
      <c r="G120" s="14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7" t="s">
        <v>156</v>
      </c>
      <c r="B121" s="17" t="s">
        <v>22</v>
      </c>
      <c r="C121" s="10" t="s">
        <v>25</v>
      </c>
      <c r="D121" s="16" t="s">
        <v>18</v>
      </c>
      <c r="E121" s="10" t="s">
        <v>488</v>
      </c>
      <c r="F121" s="10" t="s">
        <v>21</v>
      </c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 t="s">
        <v>156</v>
      </c>
      <c r="B122" s="17" t="s">
        <v>489</v>
      </c>
      <c r="C122" s="10" t="s">
        <v>100</v>
      </c>
      <c r="D122" s="16" t="s">
        <v>18</v>
      </c>
      <c r="E122" s="10" t="s">
        <v>490</v>
      </c>
      <c r="F122" s="10" t="s">
        <v>235</v>
      </c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 t="s">
        <v>156</v>
      </c>
      <c r="B123" s="17" t="s">
        <v>37</v>
      </c>
      <c r="C123" s="10" t="s">
        <v>51</v>
      </c>
      <c r="D123" s="16" t="s">
        <v>18</v>
      </c>
      <c r="E123" s="10" t="s">
        <v>491</v>
      </c>
      <c r="F123" s="10" t="s">
        <v>235</v>
      </c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7" t="s">
        <v>156</v>
      </c>
      <c r="B124" s="17" t="s">
        <v>46</v>
      </c>
      <c r="C124" s="10" t="s">
        <v>47</v>
      </c>
      <c r="D124" s="16" t="s">
        <v>18</v>
      </c>
      <c r="E124" s="10" t="s">
        <v>88</v>
      </c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3" t="s">
        <v>492</v>
      </c>
      <c r="B125" s="12"/>
      <c r="C125" s="12"/>
      <c r="D125" s="12"/>
      <c r="E125" s="12"/>
      <c r="F125" s="12"/>
      <c r="G125" s="14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7" t="s">
        <v>165</v>
      </c>
      <c r="B126" s="17" t="s">
        <v>22</v>
      </c>
      <c r="C126" s="10" t="s">
        <v>17</v>
      </c>
      <c r="D126" s="16" t="s">
        <v>18</v>
      </c>
      <c r="E126" s="10" t="s">
        <v>493</v>
      </c>
      <c r="F126" s="10" t="s">
        <v>21</v>
      </c>
      <c r="G126" s="10"/>
      <c r="H126" s="30"/>
      <c r="I126" s="1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7" t="s">
        <v>165</v>
      </c>
      <c r="B127" s="17" t="s">
        <v>438</v>
      </c>
      <c r="C127" s="10" t="s">
        <v>91</v>
      </c>
      <c r="D127" s="16" t="s">
        <v>18</v>
      </c>
      <c r="E127" s="10" t="s">
        <v>494</v>
      </c>
      <c r="F127" s="10" t="s">
        <v>458</v>
      </c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7" t="s">
        <v>165</v>
      </c>
      <c r="B128" s="17" t="s">
        <v>46</v>
      </c>
      <c r="C128" s="10" t="s">
        <v>137</v>
      </c>
      <c r="D128" s="16" t="s">
        <v>18</v>
      </c>
      <c r="E128" s="10" t="s">
        <v>495</v>
      </c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7" t="s">
        <v>165</v>
      </c>
      <c r="B129" s="17" t="s">
        <v>141</v>
      </c>
      <c r="C129" s="10" t="s">
        <v>34</v>
      </c>
      <c r="D129" s="10" t="s">
        <v>35</v>
      </c>
      <c r="E129" s="10" t="s">
        <v>496</v>
      </c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7" t="s">
        <v>165</v>
      </c>
      <c r="B130" s="17" t="s">
        <v>497</v>
      </c>
      <c r="C130" s="10" t="s">
        <v>117</v>
      </c>
      <c r="D130" s="16" t="s">
        <v>18</v>
      </c>
      <c r="E130" s="10" t="s">
        <v>498</v>
      </c>
      <c r="F130" s="10"/>
      <c r="G130" s="10" t="s">
        <v>499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7" t="s">
        <v>165</v>
      </c>
      <c r="B131" s="17" t="s">
        <v>253</v>
      </c>
      <c r="C131" s="10" t="s">
        <v>17</v>
      </c>
      <c r="D131" s="16" t="s">
        <v>18</v>
      </c>
      <c r="E131" s="10" t="s">
        <v>500</v>
      </c>
      <c r="F131" s="10"/>
      <c r="G131" s="31">
        <v>0.0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7" t="s">
        <v>165</v>
      </c>
      <c r="B132" s="17" t="s">
        <v>258</v>
      </c>
      <c r="C132" s="10" t="s">
        <v>17</v>
      </c>
      <c r="D132" s="16" t="s">
        <v>18</v>
      </c>
      <c r="E132" s="10" t="s">
        <v>501</v>
      </c>
      <c r="F132" s="10"/>
      <c r="G132" s="31">
        <v>0.0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7" t="s">
        <v>165</v>
      </c>
      <c r="B133" s="17" t="s">
        <v>502</v>
      </c>
      <c r="C133" s="10" t="s">
        <v>503</v>
      </c>
      <c r="D133" s="16" t="s">
        <v>18</v>
      </c>
      <c r="E133" s="10" t="s">
        <v>504</v>
      </c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7" t="s">
        <v>165</v>
      </c>
      <c r="B134" s="17" t="s">
        <v>421</v>
      </c>
      <c r="C134" s="10" t="s">
        <v>91</v>
      </c>
      <c r="D134" s="10" t="s">
        <v>35</v>
      </c>
      <c r="E134" s="10" t="s">
        <v>505</v>
      </c>
      <c r="F134" s="10" t="s">
        <v>96</v>
      </c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7" t="s">
        <v>165</v>
      </c>
      <c r="B135" s="17" t="s">
        <v>506</v>
      </c>
      <c r="C135" s="10" t="s">
        <v>30</v>
      </c>
      <c r="D135" s="16" t="s">
        <v>18</v>
      </c>
      <c r="E135" s="10" t="s">
        <v>507</v>
      </c>
      <c r="F135" s="10"/>
      <c r="G135" s="10" t="s">
        <v>136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7" t="s">
        <v>165</v>
      </c>
      <c r="B136" s="17" t="s">
        <v>116</v>
      </c>
      <c r="C136" s="10" t="s">
        <v>117</v>
      </c>
      <c r="D136" s="16" t="s">
        <v>18</v>
      </c>
      <c r="E136" s="10" t="s">
        <v>508</v>
      </c>
      <c r="F136" s="10"/>
      <c r="G136" s="10" t="s">
        <v>509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7" t="s">
        <v>165</v>
      </c>
      <c r="B137" s="17" t="s">
        <v>444</v>
      </c>
      <c r="C137" s="10" t="s">
        <v>25</v>
      </c>
      <c r="D137" s="16" t="s">
        <v>18</v>
      </c>
      <c r="E137" s="10" t="s">
        <v>510</v>
      </c>
      <c r="F137" s="10"/>
      <c r="G137" s="10" t="s">
        <v>127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7" t="s">
        <v>165</v>
      </c>
      <c r="B138" s="17" t="s">
        <v>41</v>
      </c>
      <c r="C138" s="10" t="s">
        <v>42</v>
      </c>
      <c r="D138" s="16" t="s">
        <v>18</v>
      </c>
      <c r="E138" s="10" t="s">
        <v>43</v>
      </c>
      <c r="F138" s="10"/>
      <c r="G138" s="10" t="s">
        <v>44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7" t="s">
        <v>165</v>
      </c>
      <c r="B139" s="17" t="s">
        <v>61</v>
      </c>
      <c r="C139" s="10" t="s">
        <v>42</v>
      </c>
      <c r="D139" s="16" t="s">
        <v>18</v>
      </c>
      <c r="E139" s="10" t="s">
        <v>65</v>
      </c>
      <c r="F139" s="10"/>
      <c r="G139" s="10" t="s">
        <v>44</v>
      </c>
      <c r="H139" s="3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3" t="s">
        <v>511</v>
      </c>
      <c r="B140" s="12"/>
      <c r="C140" s="12"/>
      <c r="D140" s="12"/>
      <c r="E140" s="12"/>
      <c r="F140" s="12"/>
      <c r="G140" s="14"/>
      <c r="H140" s="15"/>
      <c r="I140" s="7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7" t="s">
        <v>171</v>
      </c>
      <c r="B141" s="17" t="s">
        <v>77</v>
      </c>
      <c r="C141" s="10" t="s">
        <v>17</v>
      </c>
      <c r="D141" s="16" t="s">
        <v>18</v>
      </c>
      <c r="E141" s="10" t="s">
        <v>512</v>
      </c>
      <c r="F141" s="10" t="s">
        <v>513</v>
      </c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7" t="s">
        <v>171</v>
      </c>
      <c r="B142" s="17" t="s">
        <v>514</v>
      </c>
      <c r="C142" s="10" t="s">
        <v>25</v>
      </c>
      <c r="D142" s="16" t="s">
        <v>18</v>
      </c>
      <c r="E142" s="10" t="s">
        <v>515</v>
      </c>
      <c r="F142" s="10" t="s">
        <v>516</v>
      </c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3" t="s">
        <v>517</v>
      </c>
      <c r="B143" s="12"/>
      <c r="C143" s="12"/>
      <c r="D143" s="12"/>
      <c r="E143" s="12"/>
      <c r="F143" s="12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7" t="s">
        <v>180</v>
      </c>
      <c r="B144" s="17" t="s">
        <v>77</v>
      </c>
      <c r="C144" s="10" t="s">
        <v>17</v>
      </c>
      <c r="D144" s="16" t="s">
        <v>18</v>
      </c>
      <c r="E144" s="10" t="s">
        <v>512</v>
      </c>
      <c r="F144" s="10" t="s">
        <v>513</v>
      </c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7" t="s">
        <v>180</v>
      </c>
      <c r="B145" s="17" t="s">
        <v>441</v>
      </c>
      <c r="C145" s="10" t="s">
        <v>91</v>
      </c>
      <c r="D145" s="16" t="s">
        <v>18</v>
      </c>
      <c r="E145" s="10" t="s">
        <v>442</v>
      </c>
      <c r="F145" s="10" t="s">
        <v>443</v>
      </c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 t="s">
        <v>180</v>
      </c>
      <c r="B146" s="17" t="s">
        <v>444</v>
      </c>
      <c r="C146" s="10" t="s">
        <v>25</v>
      </c>
      <c r="D146" s="16" t="s">
        <v>18</v>
      </c>
      <c r="E146" s="10" t="s">
        <v>445</v>
      </c>
      <c r="F146" s="10"/>
      <c r="G146" s="10" t="s">
        <v>127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3" t="s">
        <v>518</v>
      </c>
      <c r="B147" s="12"/>
      <c r="C147" s="12"/>
      <c r="D147" s="12"/>
      <c r="E147" s="12"/>
      <c r="F147" s="12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7" t="s">
        <v>187</v>
      </c>
      <c r="B148" s="17" t="s">
        <v>22</v>
      </c>
      <c r="C148" s="10" t="s">
        <v>91</v>
      </c>
      <c r="D148" s="16" t="s">
        <v>18</v>
      </c>
      <c r="E148" s="10" t="s">
        <v>519</v>
      </c>
      <c r="F148" s="10" t="s">
        <v>21</v>
      </c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7" t="s">
        <v>187</v>
      </c>
      <c r="B149" s="17" t="s">
        <v>438</v>
      </c>
      <c r="C149" s="10" t="s">
        <v>91</v>
      </c>
      <c r="D149" s="16" t="s">
        <v>18</v>
      </c>
      <c r="E149" s="10" t="s">
        <v>439</v>
      </c>
      <c r="F149" s="10" t="s">
        <v>520</v>
      </c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7" t="s">
        <v>187</v>
      </c>
      <c r="B150" s="17" t="s">
        <v>521</v>
      </c>
      <c r="C150" s="10" t="s">
        <v>17</v>
      </c>
      <c r="D150" s="16" t="s">
        <v>18</v>
      </c>
      <c r="E150" s="10" t="s">
        <v>522</v>
      </c>
      <c r="F150" s="10" t="s">
        <v>207</v>
      </c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7" t="s">
        <v>187</v>
      </c>
      <c r="B151" s="17" t="s">
        <v>116</v>
      </c>
      <c r="C151" s="10" t="s">
        <v>100</v>
      </c>
      <c r="D151" s="16" t="s">
        <v>18</v>
      </c>
      <c r="E151" s="10" t="s">
        <v>523</v>
      </c>
      <c r="F151" s="10"/>
      <c r="G151" s="10" t="s">
        <v>524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7" t="s">
        <v>187</v>
      </c>
      <c r="B152" s="17" t="s">
        <v>470</v>
      </c>
      <c r="C152" s="10" t="s">
        <v>34</v>
      </c>
      <c r="D152" s="10" t="s">
        <v>35</v>
      </c>
      <c r="E152" s="10" t="s">
        <v>525</v>
      </c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7" t="s">
        <v>187</v>
      </c>
      <c r="B153" s="17" t="s">
        <v>479</v>
      </c>
      <c r="C153" s="10" t="s">
        <v>42</v>
      </c>
      <c r="D153" s="10" t="s">
        <v>35</v>
      </c>
      <c r="E153" s="10" t="s">
        <v>526</v>
      </c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7" t="s">
        <v>187</v>
      </c>
      <c r="B154" s="17" t="s">
        <v>473</v>
      </c>
      <c r="C154" s="10" t="s">
        <v>17</v>
      </c>
      <c r="D154" s="10" t="s">
        <v>35</v>
      </c>
      <c r="E154" s="10" t="s">
        <v>474</v>
      </c>
      <c r="F154" s="10" t="s">
        <v>207</v>
      </c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7" t="s">
        <v>187</v>
      </c>
      <c r="B155" s="17" t="s">
        <v>475</v>
      </c>
      <c r="C155" s="10" t="s">
        <v>42</v>
      </c>
      <c r="D155" s="10" t="s">
        <v>35</v>
      </c>
      <c r="E155" s="10" t="s">
        <v>476</v>
      </c>
      <c r="F155" s="10"/>
      <c r="G155" s="1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7" t="s">
        <v>187</v>
      </c>
      <c r="B156" s="17" t="s">
        <v>477</v>
      </c>
      <c r="C156" s="10" t="s">
        <v>34</v>
      </c>
      <c r="D156" s="10" t="s">
        <v>35</v>
      </c>
      <c r="E156" s="10" t="s">
        <v>527</v>
      </c>
      <c r="F156" s="10"/>
      <c r="G156" s="1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7" t="s">
        <v>187</v>
      </c>
      <c r="B157" s="17" t="s">
        <v>41</v>
      </c>
      <c r="C157" s="10" t="s">
        <v>42</v>
      </c>
      <c r="D157" s="16" t="s">
        <v>18</v>
      </c>
      <c r="E157" s="10" t="s">
        <v>43</v>
      </c>
      <c r="F157" s="10"/>
      <c r="G157" s="10" t="s">
        <v>44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3" t="s">
        <v>528</v>
      </c>
      <c r="B158" s="12"/>
      <c r="C158" s="12"/>
      <c r="D158" s="12"/>
      <c r="E158" s="12"/>
      <c r="F158" s="12"/>
      <c r="G158" s="14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7" t="s">
        <v>195</v>
      </c>
      <c r="B159" s="17" t="s">
        <v>22</v>
      </c>
      <c r="C159" s="10" t="s">
        <v>91</v>
      </c>
      <c r="D159" s="16" t="s">
        <v>18</v>
      </c>
      <c r="E159" s="10" t="s">
        <v>222</v>
      </c>
      <c r="F159" s="10" t="s">
        <v>21</v>
      </c>
      <c r="G159" s="1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7" t="s">
        <v>195</v>
      </c>
      <c r="B160" s="17" t="s">
        <v>529</v>
      </c>
      <c r="C160" s="10" t="s">
        <v>91</v>
      </c>
      <c r="D160" s="16" t="s">
        <v>18</v>
      </c>
      <c r="E160" s="10" t="s">
        <v>530</v>
      </c>
      <c r="F160" s="10" t="s">
        <v>531</v>
      </c>
      <c r="G160" s="1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7" t="s">
        <v>195</v>
      </c>
      <c r="B161" s="17" t="s">
        <v>532</v>
      </c>
      <c r="C161" s="10" t="s">
        <v>17</v>
      </c>
      <c r="D161" s="10" t="s">
        <v>35</v>
      </c>
      <c r="E161" s="10" t="s">
        <v>533</v>
      </c>
      <c r="F161" s="10" t="s">
        <v>534</v>
      </c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7" t="s">
        <v>195</v>
      </c>
      <c r="B162" s="17" t="s">
        <v>46</v>
      </c>
      <c r="C162" s="10" t="s">
        <v>137</v>
      </c>
      <c r="D162" s="16" t="s">
        <v>18</v>
      </c>
      <c r="E162" s="10" t="s">
        <v>535</v>
      </c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7" t="s">
        <v>195</v>
      </c>
      <c r="B163" s="17" t="s">
        <v>141</v>
      </c>
      <c r="C163" s="10" t="s">
        <v>34</v>
      </c>
      <c r="D163" s="10" t="s">
        <v>35</v>
      </c>
      <c r="E163" s="10" t="s">
        <v>536</v>
      </c>
      <c r="F163" s="10"/>
      <c r="G163" s="10"/>
      <c r="H163" s="7"/>
      <c r="I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7" t="s">
        <v>195</v>
      </c>
      <c r="B164" s="17" t="s">
        <v>497</v>
      </c>
      <c r="C164" s="10" t="s">
        <v>117</v>
      </c>
      <c r="D164" s="16" t="s">
        <v>18</v>
      </c>
      <c r="E164" s="10" t="s">
        <v>537</v>
      </c>
      <c r="F164" s="10"/>
      <c r="G164" s="10" t="s">
        <v>499</v>
      </c>
      <c r="H164" s="15"/>
      <c r="I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7" t="s">
        <v>195</v>
      </c>
      <c r="B165" s="17" t="s">
        <v>502</v>
      </c>
      <c r="C165" s="10" t="s">
        <v>503</v>
      </c>
      <c r="D165" s="16" t="s">
        <v>18</v>
      </c>
      <c r="E165" s="10" t="s">
        <v>538</v>
      </c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7" t="s">
        <v>195</v>
      </c>
      <c r="B166" s="17" t="s">
        <v>421</v>
      </c>
      <c r="C166" s="10" t="s">
        <v>91</v>
      </c>
      <c r="D166" s="10" t="s">
        <v>35</v>
      </c>
      <c r="E166" s="10" t="s">
        <v>539</v>
      </c>
      <c r="F166" s="10" t="s">
        <v>96</v>
      </c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7" t="s">
        <v>195</v>
      </c>
      <c r="B167" s="17" t="s">
        <v>540</v>
      </c>
      <c r="C167" s="10" t="s">
        <v>541</v>
      </c>
      <c r="D167" s="16" t="s">
        <v>18</v>
      </c>
      <c r="E167" s="10" t="s">
        <v>542</v>
      </c>
      <c r="F167" s="10"/>
      <c r="G167" s="10" t="s">
        <v>543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7" t="s">
        <v>195</v>
      </c>
      <c r="B168" s="17" t="s">
        <v>444</v>
      </c>
      <c r="C168" s="10" t="s">
        <v>25</v>
      </c>
      <c r="D168" s="16" t="s">
        <v>18</v>
      </c>
      <c r="E168" s="10" t="s">
        <v>510</v>
      </c>
      <c r="F168" s="10"/>
      <c r="G168" s="10" t="s">
        <v>127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7" t="s">
        <v>195</v>
      </c>
      <c r="B169" s="17" t="s">
        <v>544</v>
      </c>
      <c r="C169" s="10" t="s">
        <v>17</v>
      </c>
      <c r="D169" s="10" t="s">
        <v>35</v>
      </c>
      <c r="E169" s="10" t="s">
        <v>545</v>
      </c>
      <c r="F169" s="10" t="s">
        <v>546</v>
      </c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3" t="s">
        <v>547</v>
      </c>
      <c r="B170" s="12"/>
      <c r="C170" s="12"/>
      <c r="D170" s="12"/>
      <c r="E170" s="12"/>
      <c r="F170" s="12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7" t="s">
        <v>203</v>
      </c>
      <c r="B171" s="17" t="s">
        <v>22</v>
      </c>
      <c r="C171" s="10" t="s">
        <v>91</v>
      </c>
      <c r="D171" s="16" t="s">
        <v>18</v>
      </c>
      <c r="E171" s="10" t="s">
        <v>548</v>
      </c>
      <c r="F171" s="10" t="s">
        <v>21</v>
      </c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7" t="s">
        <v>203</v>
      </c>
      <c r="B172" s="17" t="s">
        <v>438</v>
      </c>
      <c r="C172" s="10" t="s">
        <v>91</v>
      </c>
      <c r="D172" s="16" t="s">
        <v>18</v>
      </c>
      <c r="E172" s="10" t="s">
        <v>549</v>
      </c>
      <c r="F172" s="10" t="s">
        <v>447</v>
      </c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7" t="s">
        <v>203</v>
      </c>
      <c r="B173" s="17" t="s">
        <v>159</v>
      </c>
      <c r="C173" s="10" t="s">
        <v>17</v>
      </c>
      <c r="D173" s="16" t="s">
        <v>18</v>
      </c>
      <c r="E173" s="10" t="s">
        <v>550</v>
      </c>
      <c r="F173" s="10" t="s">
        <v>230</v>
      </c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7" t="s">
        <v>203</v>
      </c>
      <c r="B174" s="17" t="s">
        <v>551</v>
      </c>
      <c r="C174" s="10" t="s">
        <v>25</v>
      </c>
      <c r="D174" s="16" t="s">
        <v>18</v>
      </c>
      <c r="E174" s="10" t="s">
        <v>552</v>
      </c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7" t="s">
        <v>203</v>
      </c>
      <c r="B175" s="17" t="s">
        <v>553</v>
      </c>
      <c r="C175" s="10" t="s">
        <v>34</v>
      </c>
      <c r="D175" s="10" t="s">
        <v>35</v>
      </c>
      <c r="E175" s="10" t="s">
        <v>554</v>
      </c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7" t="s">
        <v>203</v>
      </c>
      <c r="B176" s="17" t="s">
        <v>555</v>
      </c>
      <c r="C176" s="10" t="s">
        <v>91</v>
      </c>
      <c r="D176" s="10" t="s">
        <v>35</v>
      </c>
      <c r="E176" s="10" t="s">
        <v>556</v>
      </c>
      <c r="F176" s="10" t="s">
        <v>557</v>
      </c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7" t="s">
        <v>203</v>
      </c>
      <c r="B177" s="17" t="s">
        <v>116</v>
      </c>
      <c r="C177" s="10" t="s">
        <v>117</v>
      </c>
      <c r="D177" s="16" t="s">
        <v>18</v>
      </c>
      <c r="E177" s="10" t="s">
        <v>558</v>
      </c>
      <c r="F177" s="10"/>
      <c r="G177" s="10" t="s">
        <v>431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7" t="s">
        <v>203</v>
      </c>
      <c r="B178" s="17" t="s">
        <v>41</v>
      </c>
      <c r="C178" s="10" t="s">
        <v>42</v>
      </c>
      <c r="D178" s="16" t="s">
        <v>18</v>
      </c>
      <c r="E178" s="10" t="s">
        <v>43</v>
      </c>
      <c r="F178" s="10"/>
      <c r="G178" s="10" t="s">
        <v>44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3" t="s">
        <v>559</v>
      </c>
      <c r="B179" s="12"/>
      <c r="C179" s="12"/>
      <c r="D179" s="12"/>
      <c r="E179" s="12"/>
      <c r="F179" s="12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7" t="s">
        <v>211</v>
      </c>
      <c r="B180" s="17" t="s">
        <v>560</v>
      </c>
      <c r="C180" s="10" t="s">
        <v>91</v>
      </c>
      <c r="D180" s="16" t="s">
        <v>18</v>
      </c>
      <c r="E180" s="10" t="s">
        <v>561</v>
      </c>
      <c r="F180" s="10" t="s">
        <v>562</v>
      </c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7" t="s">
        <v>211</v>
      </c>
      <c r="B181" s="17" t="s">
        <v>441</v>
      </c>
      <c r="C181" s="10" t="s">
        <v>91</v>
      </c>
      <c r="D181" s="16" t="s">
        <v>18</v>
      </c>
      <c r="E181" s="10" t="s">
        <v>563</v>
      </c>
      <c r="F181" s="10" t="s">
        <v>443</v>
      </c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3" t="s">
        <v>564</v>
      </c>
      <c r="B182" s="12"/>
      <c r="C182" s="12"/>
      <c r="D182" s="12"/>
      <c r="E182" s="12"/>
      <c r="F182" s="12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7" t="s">
        <v>218</v>
      </c>
      <c r="B183" s="17" t="s">
        <v>560</v>
      </c>
      <c r="C183" s="10" t="s">
        <v>91</v>
      </c>
      <c r="D183" s="16" t="s">
        <v>18</v>
      </c>
      <c r="E183" s="10" t="s">
        <v>565</v>
      </c>
      <c r="F183" s="10" t="s">
        <v>566</v>
      </c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7" t="s">
        <v>218</v>
      </c>
      <c r="B184" s="17" t="s">
        <v>567</v>
      </c>
      <c r="C184" s="10" t="s">
        <v>17</v>
      </c>
      <c r="D184" s="16" t="s">
        <v>18</v>
      </c>
      <c r="E184" s="10" t="s">
        <v>568</v>
      </c>
      <c r="F184" s="10" t="s">
        <v>207</v>
      </c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7" t="s">
        <v>218</v>
      </c>
      <c r="B185" s="17" t="s">
        <v>553</v>
      </c>
      <c r="C185" s="10" t="s">
        <v>34</v>
      </c>
      <c r="D185" s="16" t="s">
        <v>18</v>
      </c>
      <c r="E185" s="10" t="s">
        <v>569</v>
      </c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7" t="s">
        <v>218</v>
      </c>
      <c r="B186" s="17" t="s">
        <v>116</v>
      </c>
      <c r="C186" s="10" t="s">
        <v>117</v>
      </c>
      <c r="D186" s="16" t="s">
        <v>18</v>
      </c>
      <c r="E186" s="10" t="s">
        <v>570</v>
      </c>
      <c r="F186" s="10"/>
      <c r="G186" s="10" t="s">
        <v>431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7" t="s">
        <v>218</v>
      </c>
      <c r="B187" s="17" t="s">
        <v>41</v>
      </c>
      <c r="C187" s="10" t="s">
        <v>42</v>
      </c>
      <c r="D187" s="16" t="s">
        <v>18</v>
      </c>
      <c r="E187" s="10" t="s">
        <v>43</v>
      </c>
      <c r="F187" s="10"/>
      <c r="G187" s="10" t="s">
        <v>44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7" t="s">
        <v>218</v>
      </c>
      <c r="B188" s="17" t="s">
        <v>61</v>
      </c>
      <c r="C188" s="10" t="s">
        <v>42</v>
      </c>
      <c r="D188" s="16" t="s">
        <v>18</v>
      </c>
      <c r="E188" s="10" t="s">
        <v>65</v>
      </c>
      <c r="F188" s="10"/>
      <c r="G188" s="10" t="s">
        <v>44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3" t="s">
        <v>571</v>
      </c>
      <c r="B189" s="12"/>
      <c r="C189" s="12"/>
      <c r="D189" s="12"/>
      <c r="E189" s="12"/>
      <c r="F189" s="12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7" t="s">
        <v>227</v>
      </c>
      <c r="B190" s="17" t="s">
        <v>22</v>
      </c>
      <c r="C190" s="10" t="s">
        <v>91</v>
      </c>
      <c r="D190" s="16" t="s">
        <v>18</v>
      </c>
      <c r="E190" s="10" t="s">
        <v>222</v>
      </c>
      <c r="F190" s="10" t="s">
        <v>21</v>
      </c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7" t="s">
        <v>227</v>
      </c>
      <c r="B191" s="17" t="s">
        <v>274</v>
      </c>
      <c r="C191" s="10" t="s">
        <v>275</v>
      </c>
      <c r="D191" s="16" t="s">
        <v>18</v>
      </c>
      <c r="E191" s="10" t="s">
        <v>572</v>
      </c>
      <c r="F191" s="10" t="s">
        <v>40</v>
      </c>
      <c r="G191" s="10" t="s">
        <v>320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7" t="s">
        <v>227</v>
      </c>
      <c r="B192" s="17" t="s">
        <v>159</v>
      </c>
      <c r="C192" s="10" t="s">
        <v>17</v>
      </c>
      <c r="D192" s="16" t="s">
        <v>18</v>
      </c>
      <c r="E192" s="10" t="s">
        <v>573</v>
      </c>
      <c r="F192" s="10" t="s">
        <v>207</v>
      </c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7" t="s">
        <v>227</v>
      </c>
      <c r="B193" s="17" t="s">
        <v>77</v>
      </c>
      <c r="C193" s="10" t="s">
        <v>17</v>
      </c>
      <c r="D193" s="16" t="s">
        <v>18</v>
      </c>
      <c r="E193" s="10" t="s">
        <v>574</v>
      </c>
      <c r="F193" s="10" t="s">
        <v>546</v>
      </c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7" t="s">
        <v>227</v>
      </c>
      <c r="B194" s="17" t="s">
        <v>575</v>
      </c>
      <c r="C194" s="10" t="s">
        <v>25</v>
      </c>
      <c r="D194" s="16" t="s">
        <v>18</v>
      </c>
      <c r="E194" s="10" t="s">
        <v>576</v>
      </c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7" t="s">
        <v>227</v>
      </c>
      <c r="B195" s="17" t="s">
        <v>555</v>
      </c>
      <c r="C195" s="10" t="s">
        <v>91</v>
      </c>
      <c r="D195" s="10" t="s">
        <v>35</v>
      </c>
      <c r="E195" s="10" t="s">
        <v>577</v>
      </c>
      <c r="F195" s="10" t="s">
        <v>578</v>
      </c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7" t="s">
        <v>227</v>
      </c>
      <c r="B196" s="17" t="s">
        <v>579</v>
      </c>
      <c r="C196" s="10" t="s">
        <v>275</v>
      </c>
      <c r="D196" s="10" t="s">
        <v>35</v>
      </c>
      <c r="E196" s="10" t="s">
        <v>580</v>
      </c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7" t="s">
        <v>227</v>
      </c>
      <c r="B197" s="17" t="s">
        <v>41</v>
      </c>
      <c r="C197" s="10" t="s">
        <v>42</v>
      </c>
      <c r="D197" s="16" t="s">
        <v>18</v>
      </c>
      <c r="E197" s="10" t="s">
        <v>43</v>
      </c>
      <c r="F197" s="10"/>
      <c r="G197" s="10" t="s">
        <v>44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3" t="s">
        <v>581</v>
      </c>
      <c r="B198" s="12"/>
      <c r="C198" s="12"/>
      <c r="D198" s="12"/>
      <c r="E198" s="12"/>
      <c r="F198" s="12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7" t="s">
        <v>237</v>
      </c>
      <c r="B199" s="17" t="s">
        <v>22</v>
      </c>
      <c r="C199" s="10" t="s">
        <v>91</v>
      </c>
      <c r="D199" s="16" t="s">
        <v>18</v>
      </c>
      <c r="E199" s="10" t="s">
        <v>222</v>
      </c>
      <c r="F199" s="10" t="s">
        <v>21</v>
      </c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7" t="s">
        <v>237</v>
      </c>
      <c r="B200" s="17" t="s">
        <v>159</v>
      </c>
      <c r="C200" s="10" t="s">
        <v>17</v>
      </c>
      <c r="D200" s="16" t="s">
        <v>18</v>
      </c>
      <c r="E200" s="10" t="s">
        <v>582</v>
      </c>
      <c r="F200" s="10" t="s">
        <v>207</v>
      </c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7" t="s">
        <v>237</v>
      </c>
      <c r="B201" s="17" t="s">
        <v>77</v>
      </c>
      <c r="C201" s="10" t="s">
        <v>17</v>
      </c>
      <c r="D201" s="16" t="s">
        <v>18</v>
      </c>
      <c r="E201" s="10" t="s">
        <v>583</v>
      </c>
      <c r="F201" s="10" t="s">
        <v>546</v>
      </c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7" t="s">
        <v>237</v>
      </c>
      <c r="B202" s="17" t="s">
        <v>579</v>
      </c>
      <c r="C202" s="10" t="s">
        <v>275</v>
      </c>
      <c r="D202" s="10" t="s">
        <v>35</v>
      </c>
      <c r="E202" s="10" t="s">
        <v>584</v>
      </c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7" t="s">
        <v>237</v>
      </c>
      <c r="B203" s="17" t="s">
        <v>585</v>
      </c>
      <c r="C203" s="10" t="s">
        <v>42</v>
      </c>
      <c r="D203" s="16" t="s">
        <v>18</v>
      </c>
      <c r="E203" s="10" t="s">
        <v>586</v>
      </c>
      <c r="F203" s="10"/>
      <c r="G203" s="10" t="s">
        <v>44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3" t="s">
        <v>587</v>
      </c>
      <c r="B204" s="12"/>
      <c r="C204" s="12"/>
      <c r="D204" s="12"/>
      <c r="E204" s="12"/>
      <c r="F204" s="12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7" t="s">
        <v>246</v>
      </c>
      <c r="B205" s="17" t="s">
        <v>22</v>
      </c>
      <c r="C205" s="10" t="s">
        <v>91</v>
      </c>
      <c r="D205" s="16" t="s">
        <v>18</v>
      </c>
      <c r="E205" s="10" t="s">
        <v>588</v>
      </c>
      <c r="F205" s="10" t="s">
        <v>21</v>
      </c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7" t="s">
        <v>246</v>
      </c>
      <c r="B206" s="17" t="s">
        <v>159</v>
      </c>
      <c r="C206" s="10" t="s">
        <v>17</v>
      </c>
      <c r="D206" s="16" t="s">
        <v>18</v>
      </c>
      <c r="E206" s="10" t="s">
        <v>589</v>
      </c>
      <c r="F206" s="10" t="s">
        <v>207</v>
      </c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7" t="s">
        <v>246</v>
      </c>
      <c r="B207" s="17" t="s">
        <v>590</v>
      </c>
      <c r="C207" s="10" t="s">
        <v>137</v>
      </c>
      <c r="D207" s="16" t="s">
        <v>18</v>
      </c>
      <c r="E207" s="10" t="s">
        <v>591</v>
      </c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7" t="s">
        <v>246</v>
      </c>
      <c r="B208" s="17" t="s">
        <v>592</v>
      </c>
      <c r="C208" s="10" t="s">
        <v>593</v>
      </c>
      <c r="D208" s="10" t="s">
        <v>35</v>
      </c>
      <c r="E208" s="10" t="s">
        <v>594</v>
      </c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7" t="s">
        <v>246</v>
      </c>
      <c r="B209" s="17" t="s">
        <v>595</v>
      </c>
      <c r="C209" s="10" t="s">
        <v>25</v>
      </c>
      <c r="D209" s="16" t="s">
        <v>18</v>
      </c>
      <c r="E209" s="10" t="s">
        <v>596</v>
      </c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7" t="s">
        <v>246</v>
      </c>
      <c r="B210" s="17" t="s">
        <v>597</v>
      </c>
      <c r="C210" s="10" t="s">
        <v>598</v>
      </c>
      <c r="D210" s="10" t="s">
        <v>35</v>
      </c>
      <c r="E210" s="10" t="s">
        <v>599</v>
      </c>
      <c r="F210" s="10"/>
      <c r="G210" s="10"/>
      <c r="H210" s="7"/>
      <c r="I210" s="7"/>
      <c r="J210" s="7"/>
      <c r="K210" s="7"/>
      <c r="L210" s="7"/>
      <c r="M210" s="30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7" t="s">
        <v>246</v>
      </c>
      <c r="B211" s="17" t="s">
        <v>41</v>
      </c>
      <c r="C211" s="10" t="s">
        <v>42</v>
      </c>
      <c r="D211" s="16" t="s">
        <v>18</v>
      </c>
      <c r="E211" s="10" t="s">
        <v>43</v>
      </c>
      <c r="F211" s="10"/>
      <c r="G211" s="10" t="s">
        <v>44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7" t="s">
        <v>246</v>
      </c>
      <c r="B212" s="17" t="s">
        <v>61</v>
      </c>
      <c r="C212" s="10" t="s">
        <v>42</v>
      </c>
      <c r="D212" s="16" t="s">
        <v>18</v>
      </c>
      <c r="E212" s="10" t="s">
        <v>65</v>
      </c>
      <c r="F212" s="10"/>
      <c r="G212" s="10" t="s">
        <v>44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7" t="s">
        <v>246</v>
      </c>
      <c r="B213" s="17" t="s">
        <v>143</v>
      </c>
      <c r="C213" s="10" t="s">
        <v>42</v>
      </c>
      <c r="D213" s="10" t="s">
        <v>35</v>
      </c>
      <c r="E213" s="10" t="s">
        <v>144</v>
      </c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3" t="s">
        <v>600</v>
      </c>
      <c r="B214" s="12"/>
      <c r="C214" s="12"/>
      <c r="D214" s="12"/>
      <c r="E214" s="12"/>
      <c r="F214" s="12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7" t="s">
        <v>251</v>
      </c>
      <c r="B215" s="17" t="s">
        <v>22</v>
      </c>
      <c r="C215" s="10" t="s">
        <v>91</v>
      </c>
      <c r="D215" s="16" t="s">
        <v>18</v>
      </c>
      <c r="E215" s="10" t="s">
        <v>601</v>
      </c>
      <c r="F215" s="10" t="s">
        <v>21</v>
      </c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7" t="s">
        <v>251</v>
      </c>
      <c r="B216" s="17" t="s">
        <v>602</v>
      </c>
      <c r="C216" s="10" t="s">
        <v>91</v>
      </c>
      <c r="D216" s="16" t="s">
        <v>18</v>
      </c>
      <c r="E216" s="10" t="s">
        <v>603</v>
      </c>
      <c r="F216" s="10" t="s">
        <v>604</v>
      </c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7" t="s">
        <v>251</v>
      </c>
      <c r="B217" s="17" t="s">
        <v>605</v>
      </c>
      <c r="C217" s="10" t="s">
        <v>25</v>
      </c>
      <c r="D217" s="16" t="s">
        <v>18</v>
      </c>
      <c r="E217" s="10" t="s">
        <v>606</v>
      </c>
      <c r="F217" s="10" t="s">
        <v>235</v>
      </c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7" t="s">
        <v>251</v>
      </c>
      <c r="B218" s="17" t="s">
        <v>33</v>
      </c>
      <c r="C218" s="10" t="s">
        <v>34</v>
      </c>
      <c r="D218" s="10" t="s">
        <v>35</v>
      </c>
      <c r="E218" s="10" t="s">
        <v>607</v>
      </c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3" t="s">
        <v>608</v>
      </c>
      <c r="B219" s="12"/>
      <c r="C219" s="12"/>
      <c r="D219" s="12"/>
      <c r="E219" s="12"/>
      <c r="F219" s="12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7" t="s">
        <v>256</v>
      </c>
      <c r="B220" s="17" t="s">
        <v>22</v>
      </c>
      <c r="C220" s="10" t="s">
        <v>91</v>
      </c>
      <c r="D220" s="16" t="s">
        <v>18</v>
      </c>
      <c r="E220" s="10" t="s">
        <v>609</v>
      </c>
      <c r="F220" s="10" t="s">
        <v>21</v>
      </c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7" t="s">
        <v>256</v>
      </c>
      <c r="B221" s="17" t="s">
        <v>610</v>
      </c>
      <c r="C221" s="10" t="s">
        <v>91</v>
      </c>
      <c r="D221" s="16" t="s">
        <v>18</v>
      </c>
      <c r="E221" s="10" t="s">
        <v>611</v>
      </c>
      <c r="F221" s="10" t="s">
        <v>612</v>
      </c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7" t="s">
        <v>256</v>
      </c>
      <c r="B222" s="17" t="s">
        <v>77</v>
      </c>
      <c r="C222" s="10" t="s">
        <v>17</v>
      </c>
      <c r="D222" s="16" t="s">
        <v>18</v>
      </c>
      <c r="E222" s="10" t="s">
        <v>613</v>
      </c>
      <c r="F222" s="10" t="s">
        <v>546</v>
      </c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7" t="s">
        <v>256</v>
      </c>
      <c r="B223" s="17" t="s">
        <v>614</v>
      </c>
      <c r="C223" s="10" t="s">
        <v>117</v>
      </c>
      <c r="D223" s="16" t="s">
        <v>18</v>
      </c>
      <c r="E223" s="10" t="s">
        <v>615</v>
      </c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7" t="s">
        <v>256</v>
      </c>
      <c r="B224" s="17" t="s">
        <v>444</v>
      </c>
      <c r="C224" s="10" t="s">
        <v>25</v>
      </c>
      <c r="D224" s="16" t="s">
        <v>18</v>
      </c>
      <c r="E224" s="10" t="s">
        <v>616</v>
      </c>
      <c r="F224" s="10"/>
      <c r="G224" s="10" t="s">
        <v>127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7" t="s">
        <v>256</v>
      </c>
      <c r="B225" s="17" t="s">
        <v>617</v>
      </c>
      <c r="C225" s="10" t="s">
        <v>117</v>
      </c>
      <c r="D225" s="16" t="s">
        <v>18</v>
      </c>
      <c r="E225" s="10" t="s">
        <v>618</v>
      </c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7" t="s">
        <v>256</v>
      </c>
      <c r="B226" s="17" t="s">
        <v>579</v>
      </c>
      <c r="C226" s="10" t="s">
        <v>275</v>
      </c>
      <c r="D226" s="10" t="s">
        <v>35</v>
      </c>
      <c r="E226" s="10" t="s">
        <v>619</v>
      </c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7" t="s">
        <v>256</v>
      </c>
      <c r="B227" s="17" t="s">
        <v>41</v>
      </c>
      <c r="C227" s="10" t="s">
        <v>42</v>
      </c>
      <c r="D227" s="16" t="s">
        <v>18</v>
      </c>
      <c r="E227" s="10" t="s">
        <v>43</v>
      </c>
      <c r="F227" s="10"/>
      <c r="G227" s="10" t="s">
        <v>44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7" t="s">
        <v>256</v>
      </c>
      <c r="B228" s="17" t="s">
        <v>61</v>
      </c>
      <c r="C228" s="10" t="s">
        <v>42</v>
      </c>
      <c r="D228" s="16" t="s">
        <v>18</v>
      </c>
      <c r="E228" s="10" t="s">
        <v>65</v>
      </c>
      <c r="F228" s="10"/>
      <c r="G228" s="10" t="s">
        <v>44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3" t="s">
        <v>620</v>
      </c>
      <c r="B229" s="12"/>
      <c r="C229" s="12"/>
      <c r="D229" s="12"/>
      <c r="E229" s="12"/>
      <c r="F229" s="12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7" t="s">
        <v>264</v>
      </c>
      <c r="B230" s="17" t="s">
        <v>22</v>
      </c>
      <c r="C230" s="10" t="s">
        <v>91</v>
      </c>
      <c r="D230" s="16" t="s">
        <v>18</v>
      </c>
      <c r="E230" s="10" t="s">
        <v>222</v>
      </c>
      <c r="F230" s="10" t="s">
        <v>21</v>
      </c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7" t="s">
        <v>264</v>
      </c>
      <c r="B231" s="17" t="s">
        <v>602</v>
      </c>
      <c r="C231" s="10" t="s">
        <v>91</v>
      </c>
      <c r="D231" s="16" t="s">
        <v>18</v>
      </c>
      <c r="E231" s="10" t="s">
        <v>621</v>
      </c>
      <c r="F231" s="10" t="s">
        <v>622</v>
      </c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7" t="s">
        <v>264</v>
      </c>
      <c r="B232" s="17" t="s">
        <v>623</v>
      </c>
      <c r="C232" s="10" t="s">
        <v>17</v>
      </c>
      <c r="D232" s="16" t="s">
        <v>18</v>
      </c>
      <c r="E232" s="10" t="s">
        <v>624</v>
      </c>
      <c r="F232" s="10" t="s">
        <v>207</v>
      </c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7" t="s">
        <v>264</v>
      </c>
      <c r="B233" s="17" t="s">
        <v>625</v>
      </c>
      <c r="C233" s="10" t="s">
        <v>117</v>
      </c>
      <c r="D233" s="16" t="s">
        <v>18</v>
      </c>
      <c r="E233" s="10" t="s">
        <v>626</v>
      </c>
      <c r="F233" s="10"/>
      <c r="G233" s="10" t="s">
        <v>627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7" t="s">
        <v>264</v>
      </c>
      <c r="B234" s="17" t="s">
        <v>628</v>
      </c>
      <c r="C234" s="10" t="s">
        <v>24</v>
      </c>
      <c r="D234" s="16" t="s">
        <v>18</v>
      </c>
      <c r="E234" s="10" t="s">
        <v>629</v>
      </c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7" t="s">
        <v>264</v>
      </c>
      <c r="B235" s="17" t="s">
        <v>579</v>
      </c>
      <c r="C235" s="10" t="s">
        <v>275</v>
      </c>
      <c r="D235" s="10" t="s">
        <v>35</v>
      </c>
      <c r="E235" s="10" t="s">
        <v>630</v>
      </c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7" t="s">
        <v>264</v>
      </c>
      <c r="B236" s="17" t="s">
        <v>104</v>
      </c>
      <c r="C236" s="10" t="s">
        <v>47</v>
      </c>
      <c r="D236" s="10" t="s">
        <v>35</v>
      </c>
      <c r="E236" s="10" t="s">
        <v>631</v>
      </c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7" t="s">
        <v>264</v>
      </c>
      <c r="B237" s="17" t="s">
        <v>632</v>
      </c>
      <c r="C237" s="10" t="s">
        <v>100</v>
      </c>
      <c r="D237" s="10" t="s">
        <v>35</v>
      </c>
      <c r="E237" s="10" t="s">
        <v>633</v>
      </c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7" t="s">
        <v>264</v>
      </c>
      <c r="B238" s="17" t="s">
        <v>634</v>
      </c>
      <c r="C238" s="10" t="s">
        <v>24</v>
      </c>
      <c r="D238" s="10" t="s">
        <v>35</v>
      </c>
      <c r="E238" s="10" t="s">
        <v>635</v>
      </c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7" t="s">
        <v>264</v>
      </c>
      <c r="B239" s="17" t="s">
        <v>116</v>
      </c>
      <c r="C239" s="10" t="s">
        <v>636</v>
      </c>
      <c r="D239" s="16" t="s">
        <v>18</v>
      </c>
      <c r="E239" s="10" t="s">
        <v>637</v>
      </c>
      <c r="F239" s="10"/>
      <c r="G239" s="10" t="s">
        <v>638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7" t="s">
        <v>264</v>
      </c>
      <c r="B240" s="17" t="s">
        <v>639</v>
      </c>
      <c r="C240" s="10" t="s">
        <v>34</v>
      </c>
      <c r="D240" s="10" t="s">
        <v>35</v>
      </c>
      <c r="E240" s="10" t="s">
        <v>640</v>
      </c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7" t="s">
        <v>264</v>
      </c>
      <c r="B241" s="17" t="s">
        <v>41</v>
      </c>
      <c r="C241" s="10" t="s">
        <v>42</v>
      </c>
      <c r="D241" s="16" t="s">
        <v>18</v>
      </c>
      <c r="E241" s="10" t="s">
        <v>43</v>
      </c>
      <c r="F241" s="10"/>
      <c r="G241" s="10" t="s">
        <v>44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7" t="s">
        <v>264</v>
      </c>
      <c r="B242" s="17" t="s">
        <v>641</v>
      </c>
      <c r="C242" s="10" t="s">
        <v>42</v>
      </c>
      <c r="D242" s="10" t="s">
        <v>35</v>
      </c>
      <c r="E242" s="10" t="s">
        <v>642</v>
      </c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3" t="s">
        <v>643</v>
      </c>
      <c r="B243" s="12"/>
      <c r="C243" s="12"/>
      <c r="D243" s="12"/>
      <c r="E243" s="12"/>
      <c r="F243" s="12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7" t="s">
        <v>270</v>
      </c>
      <c r="B244" s="17" t="s">
        <v>22</v>
      </c>
      <c r="C244" s="10" t="s">
        <v>91</v>
      </c>
      <c r="D244" s="16" t="s">
        <v>18</v>
      </c>
      <c r="E244" s="10" t="s">
        <v>644</v>
      </c>
      <c r="F244" s="10" t="s">
        <v>21</v>
      </c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7" t="s">
        <v>270</v>
      </c>
      <c r="B245" s="17" t="s">
        <v>645</v>
      </c>
      <c r="C245" s="10" t="s">
        <v>17</v>
      </c>
      <c r="D245" s="16" t="s">
        <v>18</v>
      </c>
      <c r="E245" s="10" t="s">
        <v>646</v>
      </c>
      <c r="F245" s="10" t="s">
        <v>207</v>
      </c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7" t="s">
        <v>270</v>
      </c>
      <c r="B246" s="17" t="s">
        <v>602</v>
      </c>
      <c r="C246" s="10" t="s">
        <v>91</v>
      </c>
      <c r="D246" s="10" t="s">
        <v>35</v>
      </c>
      <c r="E246" s="10" t="s">
        <v>647</v>
      </c>
      <c r="F246" s="10" t="s">
        <v>622</v>
      </c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7" t="s">
        <v>270</v>
      </c>
      <c r="B247" s="17" t="s">
        <v>648</v>
      </c>
      <c r="C247" s="10" t="s">
        <v>24</v>
      </c>
      <c r="D247" s="10" t="s">
        <v>35</v>
      </c>
      <c r="E247" s="10" t="s">
        <v>649</v>
      </c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7" t="s">
        <v>270</v>
      </c>
      <c r="B248" s="17" t="s">
        <v>590</v>
      </c>
      <c r="C248" s="10" t="s">
        <v>160</v>
      </c>
      <c r="D248" s="16" t="s">
        <v>18</v>
      </c>
      <c r="E248" s="10" t="s">
        <v>650</v>
      </c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7" t="s">
        <v>270</v>
      </c>
      <c r="B249" s="17" t="s">
        <v>371</v>
      </c>
      <c r="C249" s="10" t="s">
        <v>651</v>
      </c>
      <c r="D249" s="16" t="s">
        <v>18</v>
      </c>
      <c r="E249" s="10" t="s">
        <v>373</v>
      </c>
      <c r="F249" s="10" t="s">
        <v>70</v>
      </c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7" t="s">
        <v>270</v>
      </c>
      <c r="B250" s="17" t="s">
        <v>553</v>
      </c>
      <c r="C250" s="10" t="s">
        <v>34</v>
      </c>
      <c r="D250" s="16" t="s">
        <v>18</v>
      </c>
      <c r="E250" s="10" t="s">
        <v>652</v>
      </c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7" t="s">
        <v>270</v>
      </c>
      <c r="B251" s="17" t="s">
        <v>421</v>
      </c>
      <c r="C251" s="10" t="s">
        <v>91</v>
      </c>
      <c r="D251" s="10" t="s">
        <v>35</v>
      </c>
      <c r="E251" s="10" t="s">
        <v>653</v>
      </c>
      <c r="F251" s="10" t="s">
        <v>96</v>
      </c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7" t="s">
        <v>270</v>
      </c>
      <c r="B252" s="17" t="s">
        <v>116</v>
      </c>
      <c r="C252" s="10" t="s">
        <v>636</v>
      </c>
      <c r="D252" s="16" t="s">
        <v>18</v>
      </c>
      <c r="E252" s="10" t="s">
        <v>654</v>
      </c>
      <c r="F252" s="10"/>
      <c r="G252" s="10" t="s">
        <v>655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7" t="s">
        <v>270</v>
      </c>
      <c r="B253" s="17" t="s">
        <v>656</v>
      </c>
      <c r="C253" s="10" t="s">
        <v>42</v>
      </c>
      <c r="D253" s="16" t="s">
        <v>18</v>
      </c>
      <c r="E253" s="10" t="s">
        <v>657</v>
      </c>
      <c r="F253" s="10"/>
      <c r="G253" s="10" t="s">
        <v>44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7" t="s">
        <v>270</v>
      </c>
      <c r="B254" s="17" t="s">
        <v>253</v>
      </c>
      <c r="C254" s="10" t="s">
        <v>17</v>
      </c>
      <c r="D254" s="16" t="s">
        <v>18</v>
      </c>
      <c r="E254" s="10" t="s">
        <v>658</v>
      </c>
      <c r="F254" s="10"/>
      <c r="G254" s="10" t="s">
        <v>127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7" t="s">
        <v>270</v>
      </c>
      <c r="B255" s="17" t="s">
        <v>659</v>
      </c>
      <c r="C255" s="10" t="s">
        <v>17</v>
      </c>
      <c r="D255" s="16" t="s">
        <v>18</v>
      </c>
      <c r="E255" s="10" t="s">
        <v>660</v>
      </c>
      <c r="F255" s="10"/>
      <c r="G255" s="10" t="s">
        <v>127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7" t="s">
        <v>270</v>
      </c>
      <c r="B256" s="17" t="s">
        <v>661</v>
      </c>
      <c r="C256" s="10" t="s">
        <v>17</v>
      </c>
      <c r="D256" s="16" t="s">
        <v>18</v>
      </c>
      <c r="E256" s="10" t="s">
        <v>662</v>
      </c>
      <c r="F256" s="10"/>
      <c r="G256" s="10" t="s">
        <v>127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7" t="s">
        <v>270</v>
      </c>
      <c r="B257" s="17" t="s">
        <v>41</v>
      </c>
      <c r="C257" s="10" t="s">
        <v>42</v>
      </c>
      <c r="D257" s="16" t="s">
        <v>18</v>
      </c>
      <c r="E257" s="10" t="s">
        <v>43</v>
      </c>
      <c r="F257" s="10"/>
      <c r="G257" s="10" t="s">
        <v>44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7" t="s">
        <v>270</v>
      </c>
      <c r="B258" s="17" t="s">
        <v>61</v>
      </c>
      <c r="C258" s="10" t="s">
        <v>42</v>
      </c>
      <c r="D258" s="16" t="s">
        <v>18</v>
      </c>
      <c r="E258" s="10" t="s">
        <v>65</v>
      </c>
      <c r="F258" s="10"/>
      <c r="G258" s="10" t="s">
        <v>44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7" t="s">
        <v>270</v>
      </c>
      <c r="B259" s="17" t="s">
        <v>143</v>
      </c>
      <c r="C259" s="10" t="s">
        <v>42</v>
      </c>
      <c r="D259" s="10" t="s">
        <v>35</v>
      </c>
      <c r="E259" s="10" t="s">
        <v>144</v>
      </c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3" t="s">
        <v>663</v>
      </c>
      <c r="B260" s="12"/>
      <c r="C260" s="12"/>
      <c r="D260" s="12"/>
      <c r="E260" s="12"/>
      <c r="F260" s="12"/>
      <c r="G260" s="14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7" t="s">
        <v>276</v>
      </c>
      <c r="B261" s="17" t="s">
        <v>664</v>
      </c>
      <c r="C261" s="10" t="s">
        <v>91</v>
      </c>
      <c r="D261" s="16" t="s">
        <v>18</v>
      </c>
      <c r="E261" s="10" t="s">
        <v>665</v>
      </c>
      <c r="F261" s="10" t="s">
        <v>666</v>
      </c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7" t="s">
        <v>276</v>
      </c>
      <c r="B262" s="17" t="s">
        <v>441</v>
      </c>
      <c r="C262" s="10" t="s">
        <v>91</v>
      </c>
      <c r="D262" s="16" t="s">
        <v>18</v>
      </c>
      <c r="E262" s="10" t="s">
        <v>442</v>
      </c>
      <c r="F262" s="10" t="s">
        <v>443</v>
      </c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7" t="s">
        <v>276</v>
      </c>
      <c r="B263" s="17" t="s">
        <v>444</v>
      </c>
      <c r="C263" s="10" t="s">
        <v>25</v>
      </c>
      <c r="D263" s="16" t="s">
        <v>18</v>
      </c>
      <c r="E263" s="10" t="s">
        <v>445</v>
      </c>
      <c r="F263" s="10"/>
      <c r="G263" s="10" t="s">
        <v>127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3" t="s">
        <v>667</v>
      </c>
      <c r="B264" s="12"/>
      <c r="C264" s="12"/>
      <c r="D264" s="12"/>
      <c r="E264" s="12"/>
      <c r="F264" s="12"/>
      <c r="G264" s="14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7" t="s">
        <v>279</v>
      </c>
      <c r="B265" s="17" t="s">
        <v>664</v>
      </c>
      <c r="C265" s="10" t="s">
        <v>91</v>
      </c>
      <c r="D265" s="16" t="s">
        <v>18</v>
      </c>
      <c r="E265" s="10" t="s">
        <v>668</v>
      </c>
      <c r="F265" s="10" t="s">
        <v>666</v>
      </c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7" t="s">
        <v>279</v>
      </c>
      <c r="B266" s="17" t="s">
        <v>159</v>
      </c>
      <c r="C266" s="10" t="s">
        <v>17</v>
      </c>
      <c r="D266" s="16" t="s">
        <v>18</v>
      </c>
      <c r="E266" s="10" t="s">
        <v>669</v>
      </c>
      <c r="F266" s="10" t="s">
        <v>191</v>
      </c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7" t="s">
        <v>279</v>
      </c>
      <c r="B267" s="17" t="s">
        <v>41</v>
      </c>
      <c r="C267" s="10" t="s">
        <v>42</v>
      </c>
      <c r="D267" s="16" t="s">
        <v>18</v>
      </c>
      <c r="E267" s="10" t="s">
        <v>43</v>
      </c>
      <c r="F267" s="10"/>
      <c r="G267" s="10" t="s">
        <v>44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3" t="s">
        <v>670</v>
      </c>
      <c r="B268" s="12"/>
      <c r="C268" s="12"/>
      <c r="D268" s="12"/>
      <c r="E268" s="12"/>
      <c r="F268" s="12"/>
      <c r="G268" s="1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7" t="s">
        <v>283</v>
      </c>
      <c r="B269" s="17" t="s">
        <v>22</v>
      </c>
      <c r="C269" s="10" t="s">
        <v>91</v>
      </c>
      <c r="D269" s="16" t="s">
        <v>18</v>
      </c>
      <c r="E269" s="10" t="s">
        <v>671</v>
      </c>
      <c r="F269" s="10" t="s">
        <v>21</v>
      </c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7" t="s">
        <v>283</v>
      </c>
      <c r="B270" s="17" t="s">
        <v>664</v>
      </c>
      <c r="C270" s="10" t="s">
        <v>91</v>
      </c>
      <c r="D270" s="16" t="s">
        <v>18</v>
      </c>
      <c r="E270" s="10" t="s">
        <v>665</v>
      </c>
      <c r="F270" s="10" t="s">
        <v>672</v>
      </c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7" t="s">
        <v>283</v>
      </c>
      <c r="B271" s="17" t="s">
        <v>159</v>
      </c>
      <c r="C271" s="10" t="s">
        <v>17</v>
      </c>
      <c r="D271" s="16" t="s">
        <v>18</v>
      </c>
      <c r="E271" s="10" t="s">
        <v>673</v>
      </c>
      <c r="F271" s="10" t="s">
        <v>207</v>
      </c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7" t="s">
        <v>283</v>
      </c>
      <c r="B272" s="17" t="s">
        <v>553</v>
      </c>
      <c r="C272" s="10" t="s">
        <v>34</v>
      </c>
      <c r="D272" s="16" t="s">
        <v>18</v>
      </c>
      <c r="E272" s="10" t="s">
        <v>674</v>
      </c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7" t="s">
        <v>283</v>
      </c>
      <c r="B273" s="17" t="s">
        <v>116</v>
      </c>
      <c r="C273" s="10" t="s">
        <v>117</v>
      </c>
      <c r="D273" s="16" t="s">
        <v>18</v>
      </c>
      <c r="E273" s="10" t="s">
        <v>570</v>
      </c>
      <c r="F273" s="10"/>
      <c r="G273" s="10" t="s">
        <v>431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7" t="s">
        <v>283</v>
      </c>
      <c r="B274" s="17" t="s">
        <v>41</v>
      </c>
      <c r="C274" s="10" t="s">
        <v>42</v>
      </c>
      <c r="D274" s="16" t="s">
        <v>18</v>
      </c>
      <c r="E274" s="10" t="s">
        <v>43</v>
      </c>
      <c r="F274" s="10"/>
      <c r="G274" s="10" t="s">
        <v>44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7" t="s">
        <v>283</v>
      </c>
      <c r="B275" s="17" t="s">
        <v>61</v>
      </c>
      <c r="C275" s="10" t="s">
        <v>42</v>
      </c>
      <c r="D275" s="16" t="s">
        <v>18</v>
      </c>
      <c r="E275" s="10" t="s">
        <v>65</v>
      </c>
      <c r="F275" s="10"/>
      <c r="G275" s="10" t="s">
        <v>44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7" t="s">
        <v>283</v>
      </c>
      <c r="B276" s="17" t="s">
        <v>143</v>
      </c>
      <c r="C276" s="10" t="s">
        <v>42</v>
      </c>
      <c r="D276" s="10" t="s">
        <v>35</v>
      </c>
      <c r="E276" s="10" t="s">
        <v>144</v>
      </c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3" t="s">
        <v>675</v>
      </c>
      <c r="B277" s="12"/>
      <c r="C277" s="12"/>
      <c r="D277" s="12"/>
      <c r="E277" s="12"/>
      <c r="F277" s="12"/>
      <c r="G277" s="14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7" t="s">
        <v>287</v>
      </c>
      <c r="B278" s="17" t="s">
        <v>22</v>
      </c>
      <c r="C278" s="10" t="s">
        <v>91</v>
      </c>
      <c r="D278" s="16" t="s">
        <v>18</v>
      </c>
      <c r="E278" s="10" t="s">
        <v>676</v>
      </c>
      <c r="F278" s="10" t="s">
        <v>21</v>
      </c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7" t="s">
        <v>287</v>
      </c>
      <c r="B279" s="17" t="s">
        <v>677</v>
      </c>
      <c r="C279" s="10" t="s">
        <v>17</v>
      </c>
      <c r="D279" s="16" t="s">
        <v>18</v>
      </c>
      <c r="E279" s="10" t="s">
        <v>678</v>
      </c>
      <c r="F279" s="10" t="s">
        <v>207</v>
      </c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7" t="s">
        <v>287</v>
      </c>
      <c r="B280" s="17" t="s">
        <v>679</v>
      </c>
      <c r="C280" s="10" t="s">
        <v>636</v>
      </c>
      <c r="D280" s="16" t="s">
        <v>18</v>
      </c>
      <c r="E280" s="10" t="s">
        <v>680</v>
      </c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7" t="s">
        <v>287</v>
      </c>
      <c r="B281" s="17" t="s">
        <v>438</v>
      </c>
      <c r="C281" s="10" t="s">
        <v>91</v>
      </c>
      <c r="D281" s="10" t="s">
        <v>35</v>
      </c>
      <c r="E281" s="10" t="s">
        <v>681</v>
      </c>
      <c r="F281" s="10" t="s">
        <v>458</v>
      </c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7" t="s">
        <v>287</v>
      </c>
      <c r="B282" s="17" t="s">
        <v>664</v>
      </c>
      <c r="C282" s="10" t="s">
        <v>91</v>
      </c>
      <c r="D282" s="10" t="s">
        <v>35</v>
      </c>
      <c r="E282" s="10" t="s">
        <v>682</v>
      </c>
      <c r="F282" s="10" t="s">
        <v>672</v>
      </c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7" t="s">
        <v>287</v>
      </c>
      <c r="B283" s="17" t="s">
        <v>683</v>
      </c>
      <c r="C283" s="10" t="s">
        <v>38</v>
      </c>
      <c r="D283" s="16" t="s">
        <v>18</v>
      </c>
      <c r="E283" s="10" t="s">
        <v>684</v>
      </c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7" t="s">
        <v>287</v>
      </c>
      <c r="B284" s="17" t="s">
        <v>141</v>
      </c>
      <c r="C284" s="10" t="s">
        <v>34</v>
      </c>
      <c r="D284" s="10" t="s">
        <v>35</v>
      </c>
      <c r="E284" s="10" t="s">
        <v>685</v>
      </c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7" t="s">
        <v>287</v>
      </c>
      <c r="B285" s="17" t="s">
        <v>686</v>
      </c>
      <c r="C285" s="10" t="s">
        <v>24</v>
      </c>
      <c r="D285" s="16" t="s">
        <v>18</v>
      </c>
      <c r="E285" s="10" t="s">
        <v>687</v>
      </c>
      <c r="F285" s="10"/>
      <c r="G285" s="10" t="s">
        <v>688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7" t="s">
        <v>287</v>
      </c>
      <c r="B286" s="17" t="s">
        <v>116</v>
      </c>
      <c r="C286" s="10" t="s">
        <v>636</v>
      </c>
      <c r="D286" s="16" t="s">
        <v>18</v>
      </c>
      <c r="E286" s="10" t="s">
        <v>689</v>
      </c>
      <c r="F286" s="10"/>
      <c r="G286" s="10" t="s">
        <v>119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7" t="s">
        <v>287</v>
      </c>
      <c r="B287" s="17" t="s">
        <v>690</v>
      </c>
      <c r="C287" s="10" t="s">
        <v>17</v>
      </c>
      <c r="D287" s="10" t="s">
        <v>35</v>
      </c>
      <c r="E287" s="10" t="s">
        <v>691</v>
      </c>
      <c r="F287" s="10" t="s">
        <v>207</v>
      </c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7" t="s">
        <v>287</v>
      </c>
      <c r="B288" s="17" t="s">
        <v>692</v>
      </c>
      <c r="C288" s="10" t="s">
        <v>42</v>
      </c>
      <c r="D288" s="10" t="s">
        <v>35</v>
      </c>
      <c r="E288" s="10" t="s">
        <v>693</v>
      </c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7" t="s">
        <v>287</v>
      </c>
      <c r="B289" s="17" t="s">
        <v>694</v>
      </c>
      <c r="C289" s="10" t="s">
        <v>100</v>
      </c>
      <c r="D289" s="10" t="s">
        <v>35</v>
      </c>
      <c r="E289" s="10" t="s">
        <v>695</v>
      </c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7" t="s">
        <v>287</v>
      </c>
      <c r="B290" s="17" t="s">
        <v>696</v>
      </c>
      <c r="C290" s="10" t="s">
        <v>34</v>
      </c>
      <c r="D290" s="10" t="s">
        <v>35</v>
      </c>
      <c r="E290" s="10" t="s">
        <v>697</v>
      </c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7" t="s">
        <v>287</v>
      </c>
      <c r="B291" s="17" t="s">
        <v>41</v>
      </c>
      <c r="C291" s="10" t="s">
        <v>42</v>
      </c>
      <c r="D291" s="16" t="s">
        <v>18</v>
      </c>
      <c r="E291" s="10" t="s">
        <v>43</v>
      </c>
      <c r="F291" s="10"/>
      <c r="G291" s="10" t="s">
        <v>44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3" t="s">
        <v>698</v>
      </c>
      <c r="B292" s="12"/>
      <c r="C292" s="12"/>
      <c r="D292" s="12"/>
      <c r="E292" s="12"/>
      <c r="F292" s="12"/>
      <c r="G292" s="14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7" t="s">
        <v>298</v>
      </c>
      <c r="B293" s="17" t="s">
        <v>22</v>
      </c>
      <c r="C293" s="10" t="s">
        <v>91</v>
      </c>
      <c r="D293" s="16" t="s">
        <v>18</v>
      </c>
      <c r="E293" s="10" t="s">
        <v>222</v>
      </c>
      <c r="F293" s="10" t="s">
        <v>21</v>
      </c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7" t="s">
        <v>298</v>
      </c>
      <c r="B294" s="17" t="s">
        <v>159</v>
      </c>
      <c r="C294" s="10" t="s">
        <v>17</v>
      </c>
      <c r="D294" s="16" t="s">
        <v>18</v>
      </c>
      <c r="E294" s="10" t="s">
        <v>699</v>
      </c>
      <c r="F294" s="10" t="s">
        <v>207</v>
      </c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7" t="s">
        <v>298</v>
      </c>
      <c r="B295" s="17" t="s">
        <v>700</v>
      </c>
      <c r="C295" s="10" t="s">
        <v>117</v>
      </c>
      <c r="D295" s="16" t="s">
        <v>18</v>
      </c>
      <c r="E295" s="10" t="s">
        <v>701</v>
      </c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7" t="s">
        <v>298</v>
      </c>
      <c r="B296" s="17" t="s">
        <v>702</v>
      </c>
      <c r="C296" s="10" t="s">
        <v>34</v>
      </c>
      <c r="D296" s="16" t="s">
        <v>18</v>
      </c>
      <c r="E296" s="10" t="s">
        <v>703</v>
      </c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7" t="s">
        <v>298</v>
      </c>
      <c r="B297" s="17" t="s">
        <v>704</v>
      </c>
      <c r="C297" s="10" t="s">
        <v>91</v>
      </c>
      <c r="D297" s="10" t="s">
        <v>35</v>
      </c>
      <c r="E297" s="10" t="s">
        <v>705</v>
      </c>
      <c r="F297" s="10" t="s">
        <v>706</v>
      </c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7" t="s">
        <v>298</v>
      </c>
      <c r="B298" s="17" t="s">
        <v>707</v>
      </c>
      <c r="C298" s="10" t="s">
        <v>17</v>
      </c>
      <c r="D298" s="16" t="s">
        <v>18</v>
      </c>
      <c r="E298" s="10" t="s">
        <v>708</v>
      </c>
      <c r="F298" s="10" t="s">
        <v>207</v>
      </c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7" t="s">
        <v>298</v>
      </c>
      <c r="B299" s="17" t="s">
        <v>709</v>
      </c>
      <c r="C299" s="10" t="s">
        <v>42</v>
      </c>
      <c r="D299" s="16" t="s">
        <v>18</v>
      </c>
      <c r="E299" s="10" t="s">
        <v>710</v>
      </c>
      <c r="F299" s="10"/>
      <c r="G299" s="10" t="s">
        <v>44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7" t="s">
        <v>298</v>
      </c>
      <c r="B300" s="17" t="s">
        <v>711</v>
      </c>
      <c r="C300" s="10" t="s">
        <v>42</v>
      </c>
      <c r="D300" s="10" t="s">
        <v>35</v>
      </c>
      <c r="E300" s="10" t="s">
        <v>712</v>
      </c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7" t="s">
        <v>298</v>
      </c>
      <c r="B301" s="17" t="s">
        <v>713</v>
      </c>
      <c r="C301" s="10" t="s">
        <v>17</v>
      </c>
      <c r="D301" s="10" t="s">
        <v>35</v>
      </c>
      <c r="E301" s="10" t="s">
        <v>714</v>
      </c>
      <c r="F301" s="10" t="s">
        <v>207</v>
      </c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7" t="s">
        <v>298</v>
      </c>
      <c r="B302" s="17" t="s">
        <v>715</v>
      </c>
      <c r="C302" s="10" t="s">
        <v>42</v>
      </c>
      <c r="D302" s="10" t="s">
        <v>35</v>
      </c>
      <c r="E302" s="10" t="s">
        <v>716</v>
      </c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7" t="s">
        <v>298</v>
      </c>
      <c r="B303" s="17" t="s">
        <v>717</v>
      </c>
      <c r="C303" s="10" t="s">
        <v>34</v>
      </c>
      <c r="D303" s="10" t="s">
        <v>35</v>
      </c>
      <c r="E303" s="10" t="s">
        <v>718</v>
      </c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3" t="s">
        <v>719</v>
      </c>
      <c r="B304" s="12"/>
      <c r="C304" s="12"/>
      <c r="D304" s="12"/>
      <c r="E304" s="12"/>
      <c r="F304" s="12"/>
      <c r="G304" s="14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7" t="s">
        <v>307</v>
      </c>
      <c r="B305" s="17" t="s">
        <v>22</v>
      </c>
      <c r="C305" s="10" t="s">
        <v>91</v>
      </c>
      <c r="D305" s="16" t="s">
        <v>18</v>
      </c>
      <c r="E305" s="10" t="s">
        <v>222</v>
      </c>
      <c r="F305" s="10" t="s">
        <v>21</v>
      </c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7" t="s">
        <v>307</v>
      </c>
      <c r="B306" s="17" t="s">
        <v>720</v>
      </c>
      <c r="C306" s="10" t="s">
        <v>17</v>
      </c>
      <c r="D306" s="16" t="s">
        <v>18</v>
      </c>
      <c r="E306" s="10" t="s">
        <v>721</v>
      </c>
      <c r="F306" s="10" t="s">
        <v>207</v>
      </c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7" t="s">
        <v>307</v>
      </c>
      <c r="B307" s="17" t="s">
        <v>700</v>
      </c>
      <c r="C307" s="10" t="s">
        <v>722</v>
      </c>
      <c r="D307" s="16" t="s">
        <v>18</v>
      </c>
      <c r="E307" s="10" t="s">
        <v>723</v>
      </c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7" t="s">
        <v>307</v>
      </c>
      <c r="B308" s="17" t="s">
        <v>590</v>
      </c>
      <c r="C308" s="10" t="s">
        <v>160</v>
      </c>
      <c r="D308" s="16" t="s">
        <v>18</v>
      </c>
      <c r="E308" s="10" t="s">
        <v>650</v>
      </c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7" t="s">
        <v>307</v>
      </c>
      <c r="B309" s="17" t="s">
        <v>724</v>
      </c>
      <c r="C309" s="10" t="s">
        <v>34</v>
      </c>
      <c r="D309" s="10" t="s">
        <v>35</v>
      </c>
      <c r="E309" s="10" t="s">
        <v>652</v>
      </c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7" t="s">
        <v>307</v>
      </c>
      <c r="B310" s="17" t="s">
        <v>725</v>
      </c>
      <c r="C310" s="10" t="s">
        <v>24</v>
      </c>
      <c r="D310" s="16" t="s">
        <v>18</v>
      </c>
      <c r="E310" s="10" t="s">
        <v>726</v>
      </c>
      <c r="F310" s="10"/>
      <c r="G310" s="10" t="s">
        <v>727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7" t="s">
        <v>307</v>
      </c>
      <c r="B311" s="17" t="s">
        <v>728</v>
      </c>
      <c r="C311" s="10" t="s">
        <v>42</v>
      </c>
      <c r="D311" s="10" t="s">
        <v>35</v>
      </c>
      <c r="E311" s="10" t="s">
        <v>729</v>
      </c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7" t="s">
        <v>307</v>
      </c>
      <c r="B312" s="17" t="s">
        <v>41</v>
      </c>
      <c r="C312" s="10" t="s">
        <v>42</v>
      </c>
      <c r="D312" s="16" t="s">
        <v>18</v>
      </c>
      <c r="E312" s="10" t="s">
        <v>43</v>
      </c>
      <c r="F312" s="10"/>
      <c r="G312" s="10" t="s">
        <v>44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3" t="s">
        <v>730</v>
      </c>
      <c r="B313" s="12"/>
      <c r="C313" s="12"/>
      <c r="D313" s="12"/>
      <c r="E313" s="12"/>
      <c r="F313" s="12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7" t="s">
        <v>315</v>
      </c>
      <c r="B314" s="17" t="s">
        <v>22</v>
      </c>
      <c r="C314" s="10" t="s">
        <v>91</v>
      </c>
      <c r="D314" s="16" t="s">
        <v>18</v>
      </c>
      <c r="E314" s="10" t="s">
        <v>222</v>
      </c>
      <c r="F314" s="10" t="s">
        <v>21</v>
      </c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7" t="s">
        <v>315</v>
      </c>
      <c r="B315" s="17" t="s">
        <v>731</v>
      </c>
      <c r="C315" s="10" t="s">
        <v>17</v>
      </c>
      <c r="D315" s="10" t="s">
        <v>35</v>
      </c>
      <c r="E315" s="10" t="s">
        <v>732</v>
      </c>
      <c r="F315" s="10" t="s">
        <v>207</v>
      </c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7" t="s">
        <v>315</v>
      </c>
      <c r="B316" s="17" t="s">
        <v>733</v>
      </c>
      <c r="C316" s="10" t="s">
        <v>38</v>
      </c>
      <c r="D316" s="10" t="s">
        <v>35</v>
      </c>
      <c r="E316" s="10" t="s">
        <v>734</v>
      </c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7" t="s">
        <v>315</v>
      </c>
      <c r="B317" s="17" t="s">
        <v>735</v>
      </c>
      <c r="C317" s="10" t="s">
        <v>154</v>
      </c>
      <c r="D317" s="16" t="s">
        <v>18</v>
      </c>
      <c r="E317" s="10" t="s">
        <v>736</v>
      </c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7" t="s">
        <v>315</v>
      </c>
      <c r="B318" s="17" t="s">
        <v>737</v>
      </c>
      <c r="C318" s="10" t="s">
        <v>722</v>
      </c>
      <c r="D318" s="10" t="s">
        <v>35</v>
      </c>
      <c r="E318" s="10" t="s">
        <v>738</v>
      </c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7" t="s">
        <v>315</v>
      </c>
      <c r="B319" s="17" t="s">
        <v>739</v>
      </c>
      <c r="C319" s="10" t="s">
        <v>91</v>
      </c>
      <c r="D319" s="10" t="s">
        <v>35</v>
      </c>
      <c r="E319" s="10" t="s">
        <v>740</v>
      </c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7" t="s">
        <v>315</v>
      </c>
      <c r="B320" s="17" t="s">
        <v>741</v>
      </c>
      <c r="C320" s="10" t="s">
        <v>17</v>
      </c>
      <c r="D320" s="10" t="s">
        <v>35</v>
      </c>
      <c r="E320" s="10" t="s">
        <v>742</v>
      </c>
      <c r="F320" s="10" t="s">
        <v>207</v>
      </c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7" t="s">
        <v>315</v>
      </c>
      <c r="B321" s="17" t="s">
        <v>743</v>
      </c>
      <c r="C321" s="10" t="s">
        <v>24</v>
      </c>
      <c r="D321" s="10" t="s">
        <v>35</v>
      </c>
      <c r="E321" s="10" t="s">
        <v>744</v>
      </c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7" t="s">
        <v>315</v>
      </c>
      <c r="B322" s="17" t="s">
        <v>745</v>
      </c>
      <c r="C322" s="10" t="s">
        <v>24</v>
      </c>
      <c r="D322" s="10" t="s">
        <v>35</v>
      </c>
      <c r="E322" s="10" t="s">
        <v>746</v>
      </c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7" t="s">
        <v>315</v>
      </c>
      <c r="B323" s="17" t="s">
        <v>294</v>
      </c>
      <c r="C323" s="10" t="s">
        <v>295</v>
      </c>
      <c r="D323" s="10" t="s">
        <v>35</v>
      </c>
      <c r="E323" s="10" t="s">
        <v>747</v>
      </c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7" t="s">
        <v>315</v>
      </c>
      <c r="B324" s="17" t="s">
        <v>289</v>
      </c>
      <c r="C324" s="10" t="s">
        <v>107</v>
      </c>
      <c r="D324" s="10" t="s">
        <v>35</v>
      </c>
      <c r="E324" s="10" t="s">
        <v>291</v>
      </c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7" t="s">
        <v>315</v>
      </c>
      <c r="B325" s="17" t="s">
        <v>41</v>
      </c>
      <c r="C325" s="10" t="s">
        <v>42</v>
      </c>
      <c r="D325" s="16" t="s">
        <v>18</v>
      </c>
      <c r="E325" s="10" t="s">
        <v>43</v>
      </c>
      <c r="F325" s="10"/>
      <c r="G325" s="10" t="s">
        <v>44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3" t="s">
        <v>748</v>
      </c>
      <c r="B326" s="12"/>
      <c r="C326" s="12"/>
      <c r="D326" s="12"/>
      <c r="E326" s="12"/>
      <c r="F326" s="12"/>
      <c r="G326" s="14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7" t="s">
        <v>321</v>
      </c>
      <c r="B327" s="17" t="s">
        <v>22</v>
      </c>
      <c r="C327" s="10" t="s">
        <v>91</v>
      </c>
      <c r="D327" s="16" t="s">
        <v>18</v>
      </c>
      <c r="E327" s="10" t="s">
        <v>749</v>
      </c>
      <c r="F327" s="10" t="s">
        <v>21</v>
      </c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7" t="s">
        <v>321</v>
      </c>
      <c r="B328" s="17" t="s">
        <v>274</v>
      </c>
      <c r="C328" s="10" t="s">
        <v>275</v>
      </c>
      <c r="D328" s="16" t="s">
        <v>18</v>
      </c>
      <c r="E328" s="10" t="s">
        <v>750</v>
      </c>
      <c r="F328" s="10" t="s">
        <v>40</v>
      </c>
      <c r="G328" s="10" t="s">
        <v>320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7" t="s">
        <v>321</v>
      </c>
      <c r="B329" s="17" t="s">
        <v>290</v>
      </c>
      <c r="C329" s="10" t="s">
        <v>38</v>
      </c>
      <c r="D329" s="16" t="s">
        <v>18</v>
      </c>
      <c r="E329" s="10" t="s">
        <v>751</v>
      </c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7" t="s">
        <v>321</v>
      </c>
      <c r="B330" s="17" t="s">
        <v>752</v>
      </c>
      <c r="C330" s="10" t="s">
        <v>154</v>
      </c>
      <c r="D330" s="16" t="s">
        <v>18</v>
      </c>
      <c r="E330" s="10" t="s">
        <v>753</v>
      </c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7" t="s">
        <v>321</v>
      </c>
      <c r="B331" s="17" t="s">
        <v>754</v>
      </c>
      <c r="C331" s="10" t="s">
        <v>24</v>
      </c>
      <c r="D331" s="16" t="s">
        <v>18</v>
      </c>
      <c r="E331" s="10" t="s">
        <v>755</v>
      </c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7" t="s">
        <v>321</v>
      </c>
      <c r="B332" s="17" t="s">
        <v>116</v>
      </c>
      <c r="C332" s="10" t="s">
        <v>756</v>
      </c>
      <c r="D332" s="16" t="s">
        <v>18</v>
      </c>
      <c r="E332" s="10" t="s">
        <v>757</v>
      </c>
      <c r="F332" s="10"/>
      <c r="G332" s="10" t="s">
        <v>119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7" t="s">
        <v>321</v>
      </c>
      <c r="B333" s="17" t="s">
        <v>123</v>
      </c>
      <c r="C333" s="10" t="s">
        <v>25</v>
      </c>
      <c r="D333" s="16" t="s">
        <v>18</v>
      </c>
      <c r="E333" s="10" t="s">
        <v>758</v>
      </c>
      <c r="F333" s="10"/>
      <c r="G333" s="10" t="s">
        <v>127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7" t="s">
        <v>321</v>
      </c>
      <c r="B334" s="17" t="s">
        <v>759</v>
      </c>
      <c r="C334" s="10" t="s">
        <v>42</v>
      </c>
      <c r="D334" s="16" t="s">
        <v>18</v>
      </c>
      <c r="E334" s="10" t="s">
        <v>760</v>
      </c>
      <c r="F334" s="10"/>
      <c r="G334" s="10" t="s">
        <v>44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7" t="s">
        <v>321</v>
      </c>
      <c r="B335" s="17" t="s">
        <v>761</v>
      </c>
      <c r="C335" s="10" t="s">
        <v>42</v>
      </c>
      <c r="D335" s="10" t="s">
        <v>35</v>
      </c>
      <c r="E335" s="10" t="s">
        <v>762</v>
      </c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7" t="s">
        <v>321</v>
      </c>
      <c r="B336" s="17" t="s">
        <v>129</v>
      </c>
      <c r="C336" s="10" t="s">
        <v>34</v>
      </c>
      <c r="D336" s="10" t="s">
        <v>35</v>
      </c>
      <c r="E336" s="10" t="s">
        <v>763</v>
      </c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7" t="s">
        <v>321</v>
      </c>
      <c r="B337" s="17" t="s">
        <v>41</v>
      </c>
      <c r="C337" s="10" t="s">
        <v>42</v>
      </c>
      <c r="D337" s="16" t="s">
        <v>18</v>
      </c>
      <c r="E337" s="10" t="s">
        <v>43</v>
      </c>
      <c r="F337" s="10"/>
      <c r="G337" s="10" t="s">
        <v>44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7" t="s">
        <v>321</v>
      </c>
      <c r="B338" s="17" t="s">
        <v>764</v>
      </c>
      <c r="C338" s="10" t="s">
        <v>42</v>
      </c>
      <c r="D338" s="10" t="s">
        <v>35</v>
      </c>
      <c r="E338" s="10" t="s">
        <v>765</v>
      </c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2"/>
      <c r="B339" s="3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2"/>
      <c r="B340" s="3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2"/>
      <c r="B341" s="3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2"/>
      <c r="B342" s="3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2"/>
      <c r="B343" s="3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2"/>
      <c r="B344" s="3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2"/>
      <c r="B345" s="3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2"/>
      <c r="B346" s="3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2"/>
      <c r="B347" s="3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2"/>
      <c r="B348" s="3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2"/>
      <c r="B349" s="3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2"/>
      <c r="B350" s="3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2"/>
      <c r="B351" s="3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2"/>
      <c r="B352" s="3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2"/>
      <c r="B353" s="3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2"/>
      <c r="B354" s="3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2"/>
      <c r="B355" s="3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2"/>
      <c r="B356" s="3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2"/>
      <c r="B357" s="3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2"/>
      <c r="B358" s="3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2"/>
      <c r="B359" s="3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2"/>
      <c r="B360" s="3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2"/>
      <c r="B361" s="3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2"/>
      <c r="B362" s="3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2"/>
      <c r="B363" s="3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2"/>
      <c r="B364" s="3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2"/>
      <c r="B365" s="3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2"/>
      <c r="B366" s="3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2"/>
      <c r="B367" s="3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2"/>
      <c r="B368" s="3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2"/>
      <c r="B369" s="3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2"/>
      <c r="B370" s="3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2"/>
      <c r="B371" s="3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2"/>
      <c r="B372" s="3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2"/>
      <c r="B373" s="3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2"/>
      <c r="B374" s="3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2"/>
      <c r="B375" s="3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2"/>
      <c r="B376" s="3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2"/>
      <c r="B377" s="3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2"/>
      <c r="B378" s="3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2"/>
      <c r="B379" s="3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2"/>
      <c r="B380" s="3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2"/>
      <c r="B381" s="3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2"/>
      <c r="B382" s="3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2"/>
      <c r="B383" s="3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2"/>
      <c r="B384" s="3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2"/>
      <c r="B385" s="3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2"/>
      <c r="B386" s="3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2"/>
      <c r="B387" s="3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2"/>
      <c r="B388" s="3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2"/>
      <c r="B389" s="3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2"/>
      <c r="B390" s="3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2"/>
      <c r="B391" s="3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2"/>
      <c r="B392" s="3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2"/>
      <c r="B393" s="3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2"/>
      <c r="B394" s="3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2"/>
      <c r="B395" s="3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2"/>
      <c r="B396" s="3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2"/>
      <c r="B397" s="3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2"/>
      <c r="B398" s="3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2"/>
      <c r="B399" s="3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2"/>
      <c r="B400" s="3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2"/>
      <c r="B401" s="3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2"/>
      <c r="B402" s="3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2"/>
      <c r="B403" s="3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2"/>
      <c r="B404" s="3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2"/>
      <c r="B405" s="3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2"/>
      <c r="B406" s="3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2"/>
      <c r="B407" s="3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2"/>
      <c r="B408" s="3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2"/>
      <c r="B409" s="3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2"/>
      <c r="B410" s="3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2"/>
      <c r="B411" s="3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2"/>
      <c r="B412" s="3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2"/>
      <c r="B413" s="3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2"/>
      <c r="B414" s="3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2"/>
      <c r="B415" s="3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2"/>
      <c r="B416" s="3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2"/>
      <c r="B417" s="3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2"/>
      <c r="B418" s="3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2"/>
      <c r="B419" s="3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2"/>
      <c r="B420" s="3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2"/>
      <c r="B421" s="3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2"/>
      <c r="B422" s="3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2"/>
      <c r="B423" s="3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2"/>
      <c r="B424" s="3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2"/>
      <c r="B425" s="3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2"/>
      <c r="B426" s="3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2"/>
      <c r="B427" s="3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2"/>
      <c r="B428" s="3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2"/>
      <c r="B429" s="3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2"/>
      <c r="B430" s="3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2"/>
      <c r="B431" s="3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2"/>
      <c r="B432" s="3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2"/>
      <c r="B433" s="3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2"/>
      <c r="B434" s="3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2"/>
      <c r="B435" s="3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2"/>
      <c r="B436" s="3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2"/>
      <c r="B437" s="3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2"/>
      <c r="B438" s="3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2"/>
      <c r="B439" s="3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2"/>
      <c r="B440" s="3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2"/>
      <c r="B441" s="3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2"/>
      <c r="B442" s="3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2"/>
      <c r="B443" s="3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2"/>
      <c r="B444" s="3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2"/>
      <c r="B445" s="3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2"/>
      <c r="B446" s="3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2"/>
      <c r="B447" s="3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2"/>
      <c r="B448" s="3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2"/>
      <c r="B449" s="3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2"/>
      <c r="B450" s="3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2"/>
      <c r="B451" s="3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2"/>
      <c r="B452" s="3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2"/>
      <c r="B453" s="3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2"/>
      <c r="B454" s="3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2"/>
      <c r="B455" s="3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2"/>
      <c r="B456" s="3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2"/>
      <c r="B457" s="3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2"/>
      <c r="B458" s="3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2"/>
      <c r="B459" s="3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2"/>
      <c r="B460" s="3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2"/>
      <c r="B461" s="3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2"/>
      <c r="B462" s="3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2"/>
      <c r="B463" s="3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2"/>
      <c r="B464" s="3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2"/>
      <c r="B465" s="3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2"/>
      <c r="B466" s="3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2"/>
      <c r="B467" s="3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2"/>
      <c r="B468" s="3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2"/>
      <c r="B469" s="3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2"/>
      <c r="B470" s="3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2"/>
      <c r="B471" s="3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2"/>
      <c r="B472" s="3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2"/>
      <c r="B473" s="3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2"/>
      <c r="B474" s="3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2"/>
      <c r="B475" s="3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2"/>
      <c r="B476" s="3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2"/>
      <c r="B477" s="3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2"/>
      <c r="B478" s="3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2"/>
      <c r="B479" s="3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2"/>
      <c r="B480" s="3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2"/>
      <c r="B481" s="3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2"/>
      <c r="B482" s="3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2"/>
      <c r="B483" s="3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2"/>
      <c r="B484" s="3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2"/>
      <c r="B485" s="3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2"/>
      <c r="B486" s="3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2"/>
      <c r="B487" s="3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2"/>
      <c r="B488" s="3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2"/>
      <c r="B489" s="3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2"/>
      <c r="B490" s="3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2"/>
      <c r="B491" s="3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2"/>
      <c r="B492" s="3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2"/>
      <c r="B493" s="3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2"/>
      <c r="B494" s="3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2"/>
      <c r="B495" s="3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2"/>
      <c r="B496" s="3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2"/>
      <c r="B497" s="3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2"/>
      <c r="B498" s="3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2"/>
      <c r="B499" s="3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2"/>
      <c r="B500" s="3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2"/>
      <c r="B501" s="3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2"/>
      <c r="B502" s="3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2"/>
      <c r="B503" s="3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2"/>
      <c r="B504" s="3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2"/>
      <c r="B505" s="3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2"/>
      <c r="B506" s="3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2"/>
      <c r="B507" s="3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2"/>
      <c r="B508" s="3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2"/>
      <c r="B509" s="3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2"/>
      <c r="B510" s="3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2"/>
      <c r="B511" s="3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2"/>
      <c r="B512" s="3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2"/>
      <c r="B513" s="3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2"/>
      <c r="B514" s="3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2"/>
      <c r="B515" s="3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2"/>
      <c r="B516" s="3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2"/>
      <c r="B517" s="3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2"/>
      <c r="B518" s="3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2"/>
      <c r="B519" s="3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2"/>
      <c r="B520" s="3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2"/>
      <c r="B521" s="3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2"/>
      <c r="B522" s="3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2"/>
      <c r="B523" s="3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2"/>
      <c r="B524" s="3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2"/>
      <c r="B525" s="3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2"/>
      <c r="B526" s="3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2"/>
      <c r="B527" s="3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2"/>
      <c r="B528" s="3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2"/>
      <c r="B529" s="3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2"/>
      <c r="B530" s="3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2"/>
      <c r="B531" s="3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2"/>
      <c r="B532" s="3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2"/>
      <c r="B533" s="3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2"/>
      <c r="B534" s="3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2"/>
      <c r="B535" s="3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2"/>
      <c r="B536" s="3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2"/>
      <c r="B537" s="3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2"/>
      <c r="B538" s="3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G$338"/>
  <mergeCells count="38">
    <mergeCell ref="A2:G2"/>
    <mergeCell ref="A6:G6"/>
    <mergeCell ref="A22:G22"/>
    <mergeCell ref="A26:G26"/>
    <mergeCell ref="A29:G29"/>
    <mergeCell ref="A35:G35"/>
    <mergeCell ref="A41:G41"/>
    <mergeCell ref="A49:G49"/>
    <mergeCell ref="A58:G58"/>
    <mergeCell ref="A66:G66"/>
    <mergeCell ref="A91:G91"/>
    <mergeCell ref="A95:G95"/>
    <mergeCell ref="A101:G101"/>
    <mergeCell ref="A115:G115"/>
    <mergeCell ref="A120:G120"/>
    <mergeCell ref="A125:G125"/>
    <mergeCell ref="A140:G140"/>
    <mergeCell ref="A143:G143"/>
    <mergeCell ref="A147:G147"/>
    <mergeCell ref="A158:G158"/>
    <mergeCell ref="A170:G170"/>
    <mergeCell ref="A179:G179"/>
    <mergeCell ref="A182:G182"/>
    <mergeCell ref="A189:G189"/>
    <mergeCell ref="A198:G198"/>
    <mergeCell ref="A204:G204"/>
    <mergeCell ref="A214:G214"/>
    <mergeCell ref="A219:G219"/>
    <mergeCell ref="A304:G304"/>
    <mergeCell ref="A313:G313"/>
    <mergeCell ref="A326:G326"/>
    <mergeCell ref="A229:G229"/>
    <mergeCell ref="A243:G243"/>
    <mergeCell ref="A260:G260"/>
    <mergeCell ref="A264:G264"/>
    <mergeCell ref="A268:G268"/>
    <mergeCell ref="A277:G277"/>
    <mergeCell ref="A292:G29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2.0"/>
    <col customWidth="1" min="4" max="4" width="13.0"/>
    <col customWidth="1" min="5" max="5" width="70.0"/>
    <col customWidth="1" min="6" max="6" width="26.0"/>
    <col customWidth="1" min="7" max="7" width="22.0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12</v>
      </c>
      <c r="B2" s="12"/>
      <c r="C2" s="12"/>
      <c r="D2" s="12"/>
      <c r="E2" s="12"/>
      <c r="F2" s="12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15</v>
      </c>
      <c r="B3" s="10" t="s">
        <v>16</v>
      </c>
      <c r="C3" s="10" t="s">
        <v>17</v>
      </c>
      <c r="D3" s="16" t="s">
        <v>18</v>
      </c>
      <c r="E3" s="10" t="s">
        <v>19</v>
      </c>
      <c r="F3" s="10" t="s">
        <v>21</v>
      </c>
      <c r="G3" s="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15</v>
      </c>
      <c r="B4" s="10" t="s">
        <v>23</v>
      </c>
      <c r="C4" s="10" t="s">
        <v>24</v>
      </c>
      <c r="D4" s="16" t="s">
        <v>18</v>
      </c>
      <c r="E4" s="10" t="s">
        <v>26</v>
      </c>
      <c r="F4" s="10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15</v>
      </c>
      <c r="B5" s="10" t="s">
        <v>28</v>
      </c>
      <c r="C5" s="10" t="s">
        <v>30</v>
      </c>
      <c r="D5" s="16" t="s">
        <v>18</v>
      </c>
      <c r="E5" s="10" t="s">
        <v>31</v>
      </c>
      <c r="F5" s="10"/>
      <c r="G5" s="10" t="s">
        <v>32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15</v>
      </c>
      <c r="B6" s="10" t="s">
        <v>33</v>
      </c>
      <c r="C6" s="10" t="s">
        <v>34</v>
      </c>
      <c r="D6" s="10" t="s">
        <v>35</v>
      </c>
      <c r="E6" s="10" t="s">
        <v>36</v>
      </c>
      <c r="F6" s="10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 t="s">
        <v>15</v>
      </c>
      <c r="B7" s="10" t="s">
        <v>41</v>
      </c>
      <c r="C7" s="10" t="s">
        <v>42</v>
      </c>
      <c r="D7" s="16" t="s">
        <v>18</v>
      </c>
      <c r="E7" s="10" t="s">
        <v>43</v>
      </c>
      <c r="F7" s="10"/>
      <c r="G7" s="10" t="s">
        <v>44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45</v>
      </c>
      <c r="B8" s="12"/>
      <c r="C8" s="12"/>
      <c r="D8" s="12"/>
      <c r="E8" s="12"/>
      <c r="F8" s="12"/>
      <c r="G8" s="1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 t="s">
        <v>49</v>
      </c>
      <c r="B9" s="10" t="s">
        <v>50</v>
      </c>
      <c r="C9" s="10" t="s">
        <v>51</v>
      </c>
      <c r="D9" s="16" t="s">
        <v>18</v>
      </c>
      <c r="E9" s="10" t="s">
        <v>52</v>
      </c>
      <c r="F9" s="10" t="s">
        <v>21</v>
      </c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49</v>
      </c>
      <c r="B10" s="10" t="s">
        <v>54</v>
      </c>
      <c r="C10" s="10" t="s">
        <v>55</v>
      </c>
      <c r="D10" s="16" t="s">
        <v>18</v>
      </c>
      <c r="E10" s="10" t="s">
        <v>56</v>
      </c>
      <c r="F10" s="10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49</v>
      </c>
      <c r="B11" s="10" t="s">
        <v>57</v>
      </c>
      <c r="C11" s="10" t="s">
        <v>55</v>
      </c>
      <c r="D11" s="16" t="s">
        <v>18</v>
      </c>
      <c r="E11" s="10" t="s">
        <v>58</v>
      </c>
      <c r="F11" s="10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49</v>
      </c>
      <c r="B12" s="10" t="s">
        <v>61</v>
      </c>
      <c r="C12" s="10" t="s">
        <v>42</v>
      </c>
      <c r="D12" s="16" t="s">
        <v>18</v>
      </c>
      <c r="E12" s="10" t="s">
        <v>65</v>
      </c>
      <c r="F12" s="10"/>
      <c r="G12" s="10" t="s">
        <v>44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69</v>
      </c>
      <c r="B13" s="12"/>
      <c r="C13" s="12"/>
      <c r="D13" s="12"/>
      <c r="E13" s="12"/>
      <c r="F13" s="12"/>
      <c r="G13" s="1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 t="s">
        <v>75</v>
      </c>
      <c r="B14" s="10" t="s">
        <v>77</v>
      </c>
      <c r="C14" s="10" t="s">
        <v>17</v>
      </c>
      <c r="D14" s="16" t="s">
        <v>18</v>
      </c>
      <c r="E14" s="10" t="s">
        <v>78</v>
      </c>
      <c r="F14" s="10" t="s">
        <v>21</v>
      </c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 t="s">
        <v>75</v>
      </c>
      <c r="B15" s="10" t="s">
        <v>54</v>
      </c>
      <c r="C15" s="10" t="s">
        <v>55</v>
      </c>
      <c r="D15" s="10" t="s">
        <v>35</v>
      </c>
      <c r="E15" s="10" t="s">
        <v>83</v>
      </c>
      <c r="F15" s="10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 t="s">
        <v>75</v>
      </c>
      <c r="B16" s="10" t="s">
        <v>87</v>
      </c>
      <c r="C16" s="10" t="s">
        <v>24</v>
      </c>
      <c r="D16" s="10" t="s">
        <v>35</v>
      </c>
      <c r="E16" s="10" t="s">
        <v>89</v>
      </c>
      <c r="F16" s="10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75</v>
      </c>
      <c r="B17" s="10" t="s">
        <v>95</v>
      </c>
      <c r="C17" s="10" t="s">
        <v>97</v>
      </c>
      <c r="D17" s="16" t="s">
        <v>18</v>
      </c>
      <c r="E17" s="10" t="s">
        <v>98</v>
      </c>
      <c r="F17" s="10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 t="s">
        <v>75</v>
      </c>
      <c r="B18" s="10" t="s">
        <v>104</v>
      </c>
      <c r="C18" s="10" t="s">
        <v>47</v>
      </c>
      <c r="D18" s="10" t="s">
        <v>35</v>
      </c>
      <c r="E18" s="10" t="s">
        <v>106</v>
      </c>
      <c r="F18" s="10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 t="s">
        <v>75</v>
      </c>
      <c r="B19" s="10" t="s">
        <v>109</v>
      </c>
      <c r="C19" s="10" t="s">
        <v>25</v>
      </c>
      <c r="D19" s="16" t="s">
        <v>18</v>
      </c>
      <c r="E19" s="10" t="s">
        <v>111</v>
      </c>
      <c r="F19" s="10"/>
      <c r="G19" s="10" t="s">
        <v>114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 t="s">
        <v>75</v>
      </c>
      <c r="B20" s="10" t="s">
        <v>116</v>
      </c>
      <c r="C20" s="10" t="s">
        <v>117</v>
      </c>
      <c r="D20" s="16" t="s">
        <v>18</v>
      </c>
      <c r="E20" s="10" t="s">
        <v>118</v>
      </c>
      <c r="F20" s="10"/>
      <c r="G20" s="10" t="s">
        <v>119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0" t="s">
        <v>75</v>
      </c>
      <c r="B21" s="10" t="s">
        <v>123</v>
      </c>
      <c r="C21" s="10" t="s">
        <v>25</v>
      </c>
      <c r="D21" s="16" t="s">
        <v>18</v>
      </c>
      <c r="E21" s="10" t="s">
        <v>125</v>
      </c>
      <c r="F21" s="10"/>
      <c r="G21" s="10" t="s">
        <v>127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0" t="s">
        <v>75</v>
      </c>
      <c r="B22" s="10" t="s">
        <v>129</v>
      </c>
      <c r="C22" s="10" t="s">
        <v>34</v>
      </c>
      <c r="D22" s="10" t="s">
        <v>35</v>
      </c>
      <c r="E22" s="10" t="s">
        <v>130</v>
      </c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0" t="s">
        <v>75</v>
      </c>
      <c r="B23" s="10" t="s">
        <v>28</v>
      </c>
      <c r="C23" s="10" t="s">
        <v>30</v>
      </c>
      <c r="D23" s="16" t="s">
        <v>18</v>
      </c>
      <c r="E23" s="10" t="s">
        <v>135</v>
      </c>
      <c r="F23" s="10"/>
      <c r="G23" s="10" t="s">
        <v>136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0" t="s">
        <v>75</v>
      </c>
      <c r="B24" s="10" t="s">
        <v>46</v>
      </c>
      <c r="C24" s="10" t="s">
        <v>137</v>
      </c>
      <c r="D24" s="10" t="s">
        <v>35</v>
      </c>
      <c r="E24" s="10" t="s">
        <v>138</v>
      </c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 t="s">
        <v>75</v>
      </c>
      <c r="B25" s="10" t="s">
        <v>141</v>
      </c>
      <c r="C25" s="10" t="s">
        <v>34</v>
      </c>
      <c r="D25" s="10" t="s">
        <v>35</v>
      </c>
      <c r="E25" s="10" t="s">
        <v>142</v>
      </c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0" t="s">
        <v>75</v>
      </c>
      <c r="B26" s="10" t="s">
        <v>145</v>
      </c>
      <c r="C26" s="10" t="s">
        <v>42</v>
      </c>
      <c r="D26" s="10" t="s">
        <v>35</v>
      </c>
      <c r="E26" s="10" t="s">
        <v>146</v>
      </c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0" t="s">
        <v>75</v>
      </c>
      <c r="B27" s="10" t="s">
        <v>41</v>
      </c>
      <c r="C27" s="10" t="s">
        <v>42</v>
      </c>
      <c r="D27" s="16" t="s">
        <v>18</v>
      </c>
      <c r="E27" s="10" t="s">
        <v>43</v>
      </c>
      <c r="F27" s="10"/>
      <c r="G27" s="10" t="s">
        <v>44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" t="s">
        <v>75</v>
      </c>
      <c r="B28" s="10" t="s">
        <v>61</v>
      </c>
      <c r="C28" s="10" t="s">
        <v>42</v>
      </c>
      <c r="D28" s="16" t="s">
        <v>18</v>
      </c>
      <c r="E28" s="10" t="s">
        <v>65</v>
      </c>
      <c r="F28" s="10"/>
      <c r="G28" s="10" t="s">
        <v>44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1" t="s">
        <v>153</v>
      </c>
      <c r="B29" s="12"/>
      <c r="C29" s="12"/>
      <c r="D29" s="12"/>
      <c r="E29" s="12"/>
      <c r="F29" s="12"/>
      <c r="G29" s="1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0" t="s">
        <v>158</v>
      </c>
      <c r="B30" s="10" t="s">
        <v>159</v>
      </c>
      <c r="C30" s="10" t="s">
        <v>17</v>
      </c>
      <c r="D30" s="16" t="s">
        <v>18</v>
      </c>
      <c r="E30" s="10" t="s">
        <v>162</v>
      </c>
      <c r="F30" s="10" t="s">
        <v>21</v>
      </c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0" t="s">
        <v>158</v>
      </c>
      <c r="B31" s="10" t="s">
        <v>164</v>
      </c>
      <c r="C31" s="10" t="s">
        <v>55</v>
      </c>
      <c r="D31" s="10" t="s">
        <v>35</v>
      </c>
      <c r="E31" s="10" t="s">
        <v>167</v>
      </c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0" t="s">
        <v>158</v>
      </c>
      <c r="B32" s="10" t="s">
        <v>54</v>
      </c>
      <c r="C32" s="10" t="s">
        <v>55</v>
      </c>
      <c r="D32" s="10" t="s">
        <v>35</v>
      </c>
      <c r="E32" s="10" t="s">
        <v>168</v>
      </c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0" t="s">
        <v>158</v>
      </c>
      <c r="B33" s="10" t="s">
        <v>173</v>
      </c>
      <c r="C33" s="10" t="s">
        <v>17</v>
      </c>
      <c r="D33" s="16" t="s">
        <v>18</v>
      </c>
      <c r="E33" s="10" t="s">
        <v>174</v>
      </c>
      <c r="F33" s="10"/>
      <c r="G33" s="10" t="s">
        <v>127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0" t="s">
        <v>158</v>
      </c>
      <c r="B34" s="10" t="s">
        <v>178</v>
      </c>
      <c r="C34" s="10" t="s">
        <v>17</v>
      </c>
      <c r="D34" s="16" t="s">
        <v>18</v>
      </c>
      <c r="E34" s="10" t="s">
        <v>179</v>
      </c>
      <c r="F34" s="10"/>
      <c r="G34" s="10" t="s">
        <v>127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0" t="s">
        <v>158</v>
      </c>
      <c r="B35" s="10" t="s">
        <v>183</v>
      </c>
      <c r="C35" s="10" t="s">
        <v>17</v>
      </c>
      <c r="D35" s="10" t="s">
        <v>35</v>
      </c>
      <c r="E35" s="10" t="s">
        <v>184</v>
      </c>
      <c r="F35" s="10"/>
      <c r="G35" s="10" t="s">
        <v>185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0" t="s">
        <v>158</v>
      </c>
      <c r="B36" s="10" t="s">
        <v>186</v>
      </c>
      <c r="C36" s="10" t="s">
        <v>91</v>
      </c>
      <c r="D36" s="16" t="s">
        <v>18</v>
      </c>
      <c r="E36" s="10" t="s">
        <v>188</v>
      </c>
      <c r="F36" s="10"/>
      <c r="G36" s="10" t="s">
        <v>127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0" t="s">
        <v>158</v>
      </c>
      <c r="B37" s="10" t="s">
        <v>192</v>
      </c>
      <c r="C37" s="10" t="s">
        <v>24</v>
      </c>
      <c r="D37" s="10" t="s">
        <v>35</v>
      </c>
      <c r="E37" s="10" t="s">
        <v>193</v>
      </c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0" t="s">
        <v>158</v>
      </c>
      <c r="B38" s="10" t="s">
        <v>197</v>
      </c>
      <c r="C38" s="10" t="s">
        <v>42</v>
      </c>
      <c r="D38" s="10" t="s">
        <v>35</v>
      </c>
      <c r="E38" s="10" t="s">
        <v>198</v>
      </c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0" t="s">
        <v>158</v>
      </c>
      <c r="B39" s="10" t="s">
        <v>61</v>
      </c>
      <c r="C39" s="10" t="s">
        <v>42</v>
      </c>
      <c r="D39" s="16" t="s">
        <v>18</v>
      </c>
      <c r="E39" s="10" t="s">
        <v>65</v>
      </c>
      <c r="F39" s="10"/>
      <c r="G39" s="10" t="s">
        <v>44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1" t="s">
        <v>208</v>
      </c>
      <c r="B40" s="12"/>
      <c r="C40" s="12"/>
      <c r="D40" s="12"/>
      <c r="E40" s="12"/>
      <c r="F40" s="12"/>
      <c r="G40" s="1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0" t="s">
        <v>212</v>
      </c>
      <c r="B41" s="10" t="s">
        <v>159</v>
      </c>
      <c r="C41" s="10" t="s">
        <v>17</v>
      </c>
      <c r="D41" s="16" t="s">
        <v>18</v>
      </c>
      <c r="E41" s="10" t="s">
        <v>214</v>
      </c>
      <c r="F41" s="10" t="s">
        <v>215</v>
      </c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0" t="s">
        <v>212</v>
      </c>
      <c r="B42" s="10" t="s">
        <v>77</v>
      </c>
      <c r="C42" s="10" t="s">
        <v>17</v>
      </c>
      <c r="D42" s="16" t="s">
        <v>18</v>
      </c>
      <c r="E42" s="10" t="s">
        <v>217</v>
      </c>
      <c r="F42" s="10" t="s">
        <v>215</v>
      </c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0" t="s">
        <v>212</v>
      </c>
      <c r="B43" s="10" t="s">
        <v>220</v>
      </c>
      <c r="C43" s="10" t="s">
        <v>221</v>
      </c>
      <c r="D43" s="16" t="s">
        <v>18</v>
      </c>
      <c r="E43" s="10" t="s">
        <v>223</v>
      </c>
      <c r="F43" s="10"/>
      <c r="G43" s="10" t="s">
        <v>224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0" t="s">
        <v>212</v>
      </c>
      <c r="B44" s="10" t="s">
        <v>225</v>
      </c>
      <c r="C44" s="10" t="s">
        <v>17</v>
      </c>
      <c r="D44" s="16" t="s">
        <v>18</v>
      </c>
      <c r="E44" s="10" t="s">
        <v>226</v>
      </c>
      <c r="F44" s="10"/>
      <c r="G44" s="10" t="s">
        <v>127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0" t="s">
        <v>212</v>
      </c>
      <c r="B45" s="10" t="s">
        <v>231</v>
      </c>
      <c r="C45" s="10" t="s">
        <v>17</v>
      </c>
      <c r="D45" s="16" t="s">
        <v>18</v>
      </c>
      <c r="E45" s="10" t="s">
        <v>233</v>
      </c>
      <c r="F45" s="10"/>
      <c r="G45" s="10" t="s">
        <v>127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0" t="s">
        <v>212</v>
      </c>
      <c r="B46" s="10" t="s">
        <v>236</v>
      </c>
      <c r="C46" s="10" t="s">
        <v>25</v>
      </c>
      <c r="D46" s="10" t="s">
        <v>35</v>
      </c>
      <c r="E46" s="10" t="s">
        <v>239</v>
      </c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0" t="s">
        <v>212</v>
      </c>
      <c r="B47" s="10" t="s">
        <v>242</v>
      </c>
      <c r="C47" s="10" t="s">
        <v>42</v>
      </c>
      <c r="D47" s="10" t="s">
        <v>35</v>
      </c>
      <c r="E47" s="10" t="s">
        <v>243</v>
      </c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0" t="s">
        <v>212</v>
      </c>
      <c r="B48" s="10" t="s">
        <v>61</v>
      </c>
      <c r="C48" s="10" t="s">
        <v>42</v>
      </c>
      <c r="D48" s="16" t="s">
        <v>18</v>
      </c>
      <c r="E48" s="10" t="s">
        <v>65</v>
      </c>
      <c r="F48" s="10"/>
      <c r="G48" s="10" t="s">
        <v>44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1" t="s">
        <v>249</v>
      </c>
      <c r="B49" s="12"/>
      <c r="C49" s="12"/>
      <c r="D49" s="12"/>
      <c r="E49" s="12"/>
      <c r="F49" s="12"/>
      <c r="G49" s="1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0" t="s">
        <v>250</v>
      </c>
      <c r="B50" s="10" t="s">
        <v>77</v>
      </c>
      <c r="C50" s="10" t="s">
        <v>17</v>
      </c>
      <c r="D50" s="16" t="s">
        <v>18</v>
      </c>
      <c r="E50" s="10" t="s">
        <v>78</v>
      </c>
      <c r="F50" s="10" t="s">
        <v>21</v>
      </c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0" t="s">
        <v>250</v>
      </c>
      <c r="B51" s="10" t="s">
        <v>253</v>
      </c>
      <c r="C51" s="10" t="s">
        <v>17</v>
      </c>
      <c r="D51" s="16" t="s">
        <v>18</v>
      </c>
      <c r="E51" s="10" t="s">
        <v>255</v>
      </c>
      <c r="F51" s="10"/>
      <c r="G51" s="10" t="s">
        <v>127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0" t="s">
        <v>250</v>
      </c>
      <c r="B52" s="10" t="s">
        <v>258</v>
      </c>
      <c r="C52" s="10" t="s">
        <v>17</v>
      </c>
      <c r="D52" s="16" t="s">
        <v>18</v>
      </c>
      <c r="E52" s="10" t="s">
        <v>260</v>
      </c>
      <c r="F52" s="10"/>
      <c r="G52" s="10" t="s">
        <v>127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0" t="s">
        <v>250</v>
      </c>
      <c r="B53" s="10" t="s">
        <v>61</v>
      </c>
      <c r="C53" s="10" t="s">
        <v>42</v>
      </c>
      <c r="D53" s="16" t="s">
        <v>18</v>
      </c>
      <c r="E53" s="10" t="s">
        <v>65</v>
      </c>
      <c r="F53" s="10"/>
      <c r="G53" s="10" t="s">
        <v>44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1" t="s">
        <v>266</v>
      </c>
      <c r="B54" s="12"/>
      <c r="C54" s="12"/>
      <c r="D54" s="12"/>
      <c r="E54" s="12"/>
      <c r="F54" s="12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" t="s">
        <v>269</v>
      </c>
      <c r="B55" s="10" t="s">
        <v>22</v>
      </c>
      <c r="C55" s="10" t="s">
        <v>91</v>
      </c>
      <c r="D55" s="16" t="s">
        <v>18</v>
      </c>
      <c r="E55" s="10" t="s">
        <v>222</v>
      </c>
      <c r="F55" s="10" t="s">
        <v>21</v>
      </c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0" t="s">
        <v>269</v>
      </c>
      <c r="B56" s="10" t="s">
        <v>274</v>
      </c>
      <c r="C56" s="10" t="s">
        <v>275</v>
      </c>
      <c r="D56" s="16" t="s">
        <v>18</v>
      </c>
      <c r="E56" s="10" t="str">
        <f> core.dish_feedbacks.event_uuid, chống ghi trùng khi backend retry</f>
        <v>#ERROR!</v>
      </c>
      <c r="F56" s="10" t="s">
        <v>40</v>
      </c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0" t="s">
        <v>269</v>
      </c>
      <c r="B57" s="10" t="s">
        <v>159</v>
      </c>
      <c r="C57" s="10" t="s">
        <v>17</v>
      </c>
      <c r="D57" s="16" t="s">
        <v>18</v>
      </c>
      <c r="E57" s="10" t="s">
        <v>214</v>
      </c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0" t="s">
        <v>269</v>
      </c>
      <c r="B58" s="10" t="s">
        <v>77</v>
      </c>
      <c r="C58" s="10" t="s">
        <v>17</v>
      </c>
      <c r="D58" s="16" t="s">
        <v>18</v>
      </c>
      <c r="E58" s="10" t="s">
        <v>217</v>
      </c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0" t="s">
        <v>269</v>
      </c>
      <c r="B59" s="10" t="s">
        <v>290</v>
      </c>
      <c r="C59" s="10" t="s">
        <v>117</v>
      </c>
      <c r="D59" s="16" t="s">
        <v>18</v>
      </c>
      <c r="E59" s="10" t="s">
        <v>292</v>
      </c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0" t="s">
        <v>269</v>
      </c>
      <c r="B60" s="10" t="s">
        <v>293</v>
      </c>
      <c r="C60" s="10" t="s">
        <v>25</v>
      </c>
      <c r="D60" s="16" t="s">
        <v>18</v>
      </c>
      <c r="E60" s="10" t="s">
        <v>296</v>
      </c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0" t="s">
        <v>269</v>
      </c>
      <c r="B61" s="10" t="s">
        <v>300</v>
      </c>
      <c r="C61" s="10" t="s">
        <v>275</v>
      </c>
      <c r="D61" s="10" t="s">
        <v>35</v>
      </c>
      <c r="E61" s="10" t="s">
        <v>301</v>
      </c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0" t="s">
        <v>269</v>
      </c>
      <c r="B62" s="10" t="s">
        <v>16</v>
      </c>
      <c r="C62" s="10" t="s">
        <v>17</v>
      </c>
      <c r="D62" s="10" t="s">
        <v>35</v>
      </c>
      <c r="E62" s="10" t="s">
        <v>302</v>
      </c>
      <c r="F62" s="10" t="s">
        <v>303</v>
      </c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0" t="s">
        <v>269</v>
      </c>
      <c r="B63" s="10" t="s">
        <v>305</v>
      </c>
      <c r="C63" s="10" t="s">
        <v>42</v>
      </c>
      <c r="D63" s="16" t="s">
        <v>18</v>
      </c>
      <c r="E63" s="10" t="s">
        <v>306</v>
      </c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0" t="s">
        <v>269</v>
      </c>
      <c r="B64" s="10" t="s">
        <v>311</v>
      </c>
      <c r="C64" s="10" t="s">
        <v>42</v>
      </c>
      <c r="D64" s="16" t="s">
        <v>18</v>
      </c>
      <c r="E64" s="10" t="s">
        <v>312</v>
      </c>
      <c r="F64" s="10"/>
      <c r="G64" s="10" t="s">
        <v>44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1" t="s">
        <v>314</v>
      </c>
      <c r="B65" s="12"/>
      <c r="C65" s="12"/>
      <c r="D65" s="12"/>
      <c r="E65" s="12"/>
      <c r="F65" s="12"/>
      <c r="G65" s="1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0" t="s">
        <v>317</v>
      </c>
      <c r="B66" s="10" t="s">
        <v>300</v>
      </c>
      <c r="C66" s="10" t="s">
        <v>275</v>
      </c>
      <c r="D66" s="16" t="s">
        <v>18</v>
      </c>
      <c r="E66" s="10" t="s">
        <v>319</v>
      </c>
      <c r="F66" s="10" t="s">
        <v>21</v>
      </c>
      <c r="G66" s="10" t="s">
        <v>320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0" t="s">
        <v>317</v>
      </c>
      <c r="B67" s="10" t="s">
        <v>159</v>
      </c>
      <c r="C67" s="10" t="s">
        <v>17</v>
      </c>
      <c r="D67" s="16" t="s">
        <v>18</v>
      </c>
      <c r="E67" s="10" t="s">
        <v>325</v>
      </c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0" t="s">
        <v>317</v>
      </c>
      <c r="B68" s="10" t="s">
        <v>16</v>
      </c>
      <c r="C68" s="10" t="s">
        <v>17</v>
      </c>
      <c r="D68" s="16" t="s">
        <v>18</v>
      </c>
      <c r="E68" s="10" t="s">
        <v>326</v>
      </c>
      <c r="F68" s="10" t="s">
        <v>303</v>
      </c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0" t="s">
        <v>317</v>
      </c>
      <c r="B69" s="10" t="s">
        <v>330</v>
      </c>
      <c r="C69" s="10" t="s">
        <v>100</v>
      </c>
      <c r="D69" s="16" t="s">
        <v>18</v>
      </c>
      <c r="E69" s="10" t="s">
        <v>332</v>
      </c>
      <c r="F69" s="10"/>
      <c r="G69" s="10" t="s">
        <v>333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0" t="s">
        <v>317</v>
      </c>
      <c r="B70" s="10" t="s">
        <v>334</v>
      </c>
      <c r="C70" s="10" t="s">
        <v>17</v>
      </c>
      <c r="D70" s="16" t="s">
        <v>18</v>
      </c>
      <c r="E70" s="10" t="s">
        <v>336</v>
      </c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0" t="s">
        <v>317</v>
      </c>
      <c r="B71" s="10" t="s">
        <v>338</v>
      </c>
      <c r="C71" s="10" t="s">
        <v>91</v>
      </c>
      <c r="D71" s="16" t="s">
        <v>18</v>
      </c>
      <c r="E71" s="10" t="s">
        <v>339</v>
      </c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0" t="s">
        <v>317</v>
      </c>
      <c r="B72" s="10" t="s">
        <v>342</v>
      </c>
      <c r="C72" s="10" t="s">
        <v>221</v>
      </c>
      <c r="D72" s="16" t="s">
        <v>18</v>
      </c>
      <c r="E72" s="10" t="s">
        <v>343</v>
      </c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0" t="s">
        <v>317</v>
      </c>
      <c r="B73" s="10" t="s">
        <v>345</v>
      </c>
      <c r="C73" s="10" t="s">
        <v>17</v>
      </c>
      <c r="D73" s="16" t="s">
        <v>18</v>
      </c>
      <c r="E73" s="10" t="s">
        <v>347</v>
      </c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0" t="s">
        <v>317</v>
      </c>
      <c r="B74" s="10" t="s">
        <v>349</v>
      </c>
      <c r="C74" s="10" t="s">
        <v>17</v>
      </c>
      <c r="D74" s="16" t="s">
        <v>18</v>
      </c>
      <c r="E74" s="10" t="s">
        <v>351</v>
      </c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0" t="s">
        <v>317</v>
      </c>
      <c r="B75" s="10" t="s">
        <v>352</v>
      </c>
      <c r="C75" s="10" t="s">
        <v>17</v>
      </c>
      <c r="D75" s="10" t="s">
        <v>35</v>
      </c>
      <c r="E75" s="10" t="s">
        <v>354</v>
      </c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0" t="s">
        <v>317</v>
      </c>
      <c r="B76" s="10" t="s">
        <v>41</v>
      </c>
      <c r="C76" s="10" t="s">
        <v>42</v>
      </c>
      <c r="D76" s="16" t="s">
        <v>18</v>
      </c>
      <c r="E76" s="10" t="s">
        <v>43</v>
      </c>
      <c r="F76" s="10"/>
      <c r="G76" s="10" t="s">
        <v>44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1" t="s">
        <v>355</v>
      </c>
      <c r="B77" s="12"/>
      <c r="C77" s="12"/>
      <c r="D77" s="12"/>
      <c r="E77" s="12"/>
      <c r="F77" s="12"/>
      <c r="G77" s="1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" t="s">
        <v>365</v>
      </c>
      <c r="B78" s="10" t="s">
        <v>300</v>
      </c>
      <c r="C78" s="10" t="s">
        <v>275</v>
      </c>
      <c r="D78" s="16" t="s">
        <v>18</v>
      </c>
      <c r="E78" s="10" t="s">
        <v>366</v>
      </c>
      <c r="F78" s="10" t="s">
        <v>368</v>
      </c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" t="s">
        <v>365</v>
      </c>
      <c r="B79" s="10" t="s">
        <v>77</v>
      </c>
      <c r="C79" s="10" t="s">
        <v>17</v>
      </c>
      <c r="D79" s="16" t="s">
        <v>18</v>
      </c>
      <c r="E79" s="10" t="s">
        <v>370</v>
      </c>
      <c r="F79" s="10" t="s">
        <v>215</v>
      </c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" t="s">
        <v>365</v>
      </c>
      <c r="B80" s="10" t="s">
        <v>374</v>
      </c>
      <c r="C80" s="10" t="s">
        <v>17</v>
      </c>
      <c r="D80" s="16" t="s">
        <v>18</v>
      </c>
      <c r="E80" s="10" t="s">
        <v>375</v>
      </c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0" t="s">
        <v>365</v>
      </c>
      <c r="B81" s="10" t="s">
        <v>376</v>
      </c>
      <c r="C81" s="10" t="s">
        <v>30</v>
      </c>
      <c r="D81" s="16" t="s">
        <v>18</v>
      </c>
      <c r="E81" s="10" t="s">
        <v>377</v>
      </c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" t="s">
        <v>365</v>
      </c>
      <c r="B82" s="10" t="s">
        <v>380</v>
      </c>
      <c r="C82" s="10" t="s">
        <v>221</v>
      </c>
      <c r="D82" s="10" t="s">
        <v>35</v>
      </c>
      <c r="E82" s="10" t="s">
        <v>381</v>
      </c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" t="s">
        <v>365</v>
      </c>
      <c r="B83" s="10" t="s">
        <v>382</v>
      </c>
      <c r="C83" s="10" t="s">
        <v>221</v>
      </c>
      <c r="D83" s="16" t="s">
        <v>18</v>
      </c>
      <c r="E83" s="10" t="s">
        <v>383</v>
      </c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0" t="s">
        <v>365</v>
      </c>
      <c r="B84" s="10" t="s">
        <v>220</v>
      </c>
      <c r="C84" s="10" t="s">
        <v>221</v>
      </c>
      <c r="D84" s="16" t="s">
        <v>18</v>
      </c>
      <c r="E84" s="10" t="s">
        <v>386</v>
      </c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0" t="s">
        <v>365</v>
      </c>
      <c r="B85" s="10" t="s">
        <v>387</v>
      </c>
      <c r="C85" s="10" t="s">
        <v>221</v>
      </c>
      <c r="D85" s="16" t="s">
        <v>18</v>
      </c>
      <c r="E85" s="10" t="s">
        <v>388</v>
      </c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0" t="s">
        <v>365</v>
      </c>
      <c r="B86" s="10" t="s">
        <v>390</v>
      </c>
      <c r="C86" s="10" t="s">
        <v>221</v>
      </c>
      <c r="D86" s="16" t="s">
        <v>18</v>
      </c>
      <c r="E86" s="10" t="s">
        <v>391</v>
      </c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0" t="s">
        <v>365</v>
      </c>
      <c r="B87" s="10" t="s">
        <v>393</v>
      </c>
      <c r="C87" s="10" t="s">
        <v>221</v>
      </c>
      <c r="D87" s="16" t="s">
        <v>18</v>
      </c>
      <c r="E87" s="10" t="s">
        <v>395</v>
      </c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0" t="s">
        <v>365</v>
      </c>
      <c r="B88" s="10" t="s">
        <v>397</v>
      </c>
      <c r="C88" s="10" t="s">
        <v>221</v>
      </c>
      <c r="D88" s="16" t="s">
        <v>18</v>
      </c>
      <c r="E88" s="10" t="s">
        <v>398</v>
      </c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0" t="s">
        <v>365</v>
      </c>
      <c r="B89" s="10" t="s">
        <v>399</v>
      </c>
      <c r="C89" s="10" t="s">
        <v>221</v>
      </c>
      <c r="D89" s="16" t="s">
        <v>18</v>
      </c>
      <c r="E89" s="10" t="s">
        <v>400</v>
      </c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0" t="s">
        <v>365</v>
      </c>
      <c r="B90" s="10" t="s">
        <v>403</v>
      </c>
      <c r="C90" s="10" t="s">
        <v>221</v>
      </c>
      <c r="D90" s="16" t="s">
        <v>18</v>
      </c>
      <c r="E90" s="10" t="s">
        <v>404</v>
      </c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0" t="s">
        <v>365</v>
      </c>
      <c r="B91" s="10" t="s">
        <v>405</v>
      </c>
      <c r="C91" s="10" t="s">
        <v>42</v>
      </c>
      <c r="D91" s="10" t="s">
        <v>35</v>
      </c>
      <c r="E91" s="10" t="s">
        <v>406</v>
      </c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G$91"/>
  <mergeCells count="9">
    <mergeCell ref="A65:G65"/>
    <mergeCell ref="A77:G77"/>
    <mergeCell ref="A2:G2"/>
    <mergeCell ref="A8:G8"/>
    <mergeCell ref="A13:G13"/>
    <mergeCell ref="A29:G29"/>
    <mergeCell ref="A40:G40"/>
    <mergeCell ref="A49:G49"/>
    <mergeCell ref="A54:G5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2026-10-01T13:49:15Z</dcterms:created>
  <dc:creator>openpyxl</dc:creator>
</cp:coreProperties>
</file>